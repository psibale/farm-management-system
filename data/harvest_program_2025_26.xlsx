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bale\Desktop\Flask FarmManagementSystem\data\"/>
    </mc:Choice>
  </mc:AlternateContent>
  <bookViews>
    <workbookView xWindow="0" yWindow="0" windowWidth="28800" windowHeight="12300"/>
  </bookViews>
  <sheets>
    <sheet name="HARV.2025" sheetId="1" r:id="rId1"/>
  </sheets>
  <externalReferences>
    <externalReference r:id="rId2"/>
  </externalReferences>
  <calcPr calcId="162913"/>
</workbook>
</file>

<file path=xl/calcChain.xml><?xml version="1.0" encoding="utf-8"?>
<calcChain xmlns="http://schemas.openxmlformats.org/spreadsheetml/2006/main">
  <c r="C20" i="1" l="1"/>
  <c r="C19" i="1"/>
  <c r="C18" i="1"/>
  <c r="C17" i="1"/>
  <c r="C16" i="1"/>
</calcChain>
</file>

<file path=xl/sharedStrings.xml><?xml version="1.0" encoding="utf-8"?>
<sst xmlns="http://schemas.openxmlformats.org/spreadsheetml/2006/main" count="151" uniqueCount="85">
  <si>
    <t>DATE</t>
  </si>
  <si>
    <t>FIELD</t>
  </si>
  <si>
    <t>VARIETY</t>
  </si>
  <si>
    <t>CROP STAGE</t>
  </si>
  <si>
    <t>MONTH CUT (actual date from last season)</t>
  </si>
  <si>
    <t>ACTUAL TCH</t>
  </si>
  <si>
    <t>EST. ERS%</t>
  </si>
  <si>
    <t>ACTUAL ERS%</t>
  </si>
  <si>
    <t>AREA (HA)</t>
  </si>
  <si>
    <t>YIELD (TONS)</t>
  </si>
  <si>
    <t>TONS SUGAR</t>
  </si>
  <si>
    <t>LP08000</t>
  </si>
  <si>
    <t>DG04000</t>
  </si>
  <si>
    <t>DG11000</t>
  </si>
  <si>
    <t>DG31000</t>
  </si>
  <si>
    <t>DG27000</t>
  </si>
  <si>
    <t>DG34000</t>
  </si>
  <si>
    <t>DG08000</t>
  </si>
  <si>
    <t>LP09000</t>
  </si>
  <si>
    <t>LP05000</t>
  </si>
  <si>
    <t>LF05000</t>
  </si>
  <si>
    <t>MP04000</t>
  </si>
  <si>
    <t>MP08000</t>
  </si>
  <si>
    <t>LF10000</t>
  </si>
  <si>
    <t>LF08000</t>
  </si>
  <si>
    <t>LP06000</t>
  </si>
  <si>
    <t>LP07000</t>
  </si>
  <si>
    <t>DG32000</t>
  </si>
  <si>
    <t>DG16000</t>
  </si>
  <si>
    <t>DG14000</t>
  </si>
  <si>
    <t>DG22000</t>
  </si>
  <si>
    <t>DG29000</t>
  </si>
  <si>
    <t>DG01000</t>
  </si>
  <si>
    <t>DG26000</t>
  </si>
  <si>
    <t>DG06000</t>
  </si>
  <si>
    <t>DG13000</t>
  </si>
  <si>
    <t>DG37000</t>
  </si>
  <si>
    <t>DG39000</t>
  </si>
  <si>
    <t>DG02000</t>
  </si>
  <si>
    <t>DG33000</t>
  </si>
  <si>
    <t>DG23000</t>
  </si>
  <si>
    <t>DG20000</t>
  </si>
  <si>
    <t>DG07000</t>
  </si>
  <si>
    <t>DG25000</t>
  </si>
  <si>
    <t>DG12000</t>
  </si>
  <si>
    <t>DG18000</t>
  </si>
  <si>
    <t>DG17000</t>
  </si>
  <si>
    <t>DG24000</t>
  </si>
  <si>
    <t>DG15000</t>
  </si>
  <si>
    <t>DG10000</t>
  </si>
  <si>
    <t>DG28000</t>
  </si>
  <si>
    <t>DG05000</t>
  </si>
  <si>
    <t>LP10000</t>
  </si>
  <si>
    <t>DG19000</t>
  </si>
  <si>
    <t>DG21000</t>
  </si>
  <si>
    <t>DG09000</t>
  </si>
  <si>
    <t>DG38000</t>
  </si>
  <si>
    <t>DG03000</t>
  </si>
  <si>
    <t>DG30000</t>
  </si>
  <si>
    <t>N41</t>
  </si>
  <si>
    <t>MN1</t>
  </si>
  <si>
    <t>97F1692</t>
  </si>
  <si>
    <t>R570</t>
  </si>
  <si>
    <t>MIXED</t>
  </si>
  <si>
    <t>R579</t>
  </si>
  <si>
    <t>R7</t>
  </si>
  <si>
    <t>R12</t>
  </si>
  <si>
    <t>P</t>
  </si>
  <si>
    <t>R10</t>
  </si>
  <si>
    <t>R6</t>
  </si>
  <si>
    <t>R2</t>
  </si>
  <si>
    <t>R5</t>
  </si>
  <si>
    <t>R11</t>
  </si>
  <si>
    <t>R1</t>
  </si>
  <si>
    <t>R3/R7</t>
  </si>
  <si>
    <t>R2/R10</t>
  </si>
  <si>
    <t>R4</t>
  </si>
  <si>
    <t>R3</t>
  </si>
  <si>
    <t>P/R12</t>
  </si>
  <si>
    <t>P/R10</t>
  </si>
  <si>
    <t>R1/R7</t>
  </si>
  <si>
    <t>P/R6</t>
  </si>
  <si>
    <t>P/R7</t>
  </si>
  <si>
    <t>R7/R5</t>
  </si>
  <si>
    <t>EST. 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</si>
</sst>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(* #,##0_);_(* \(#,##0\);_(* &quot;-&quot;??_);_(@_)"/>
    <numFmt numFmtId="165" formatCode="[$-409]d\-mmm\-yy;@"/>
    <numFmt numFmtId="166" formatCode="_(* #,##0.000_);_(* \(#,##0.0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2"/>
      <name val="Century Gothic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164" fontId="3" fillId="3" borderId="1" xfId="1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2" fontId="3" fillId="3" borderId="1" xfId="0" applyNumberFormat="1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2" fontId="3" fillId="2" borderId="1" xfId="0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2" fontId="3" fillId="4" borderId="1" xfId="0" applyNumberFormat="1" applyFont="1" applyFill="1" applyBorder="1" applyAlignment="1">
      <alignment horizontal="left"/>
    </xf>
    <xf numFmtId="2" fontId="3" fillId="2" borderId="2" xfId="0" applyNumberFormat="1" applyFont="1" applyFill="1" applyBorder="1" applyAlignment="1">
      <alignment horizontal="left"/>
    </xf>
    <xf numFmtId="2" fontId="3" fillId="3" borderId="2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165" fontId="3" fillId="3" borderId="2" xfId="0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165" fontId="3" fillId="2" borderId="2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left"/>
    </xf>
    <xf numFmtId="164" fontId="3" fillId="2" borderId="1" xfId="1" applyNumberFormat="1" applyFont="1" applyFill="1" applyBorder="1" applyAlignment="1">
      <alignment horizontal="center"/>
    </xf>
    <xf numFmtId="43" fontId="3" fillId="2" borderId="1" xfId="1" applyFont="1" applyFill="1" applyBorder="1" applyAlignment="1">
      <alignment horizontal="center"/>
    </xf>
    <xf numFmtId="164" fontId="3" fillId="3" borderId="1" xfId="1" applyNumberFormat="1" applyFont="1" applyFill="1" applyBorder="1" applyAlignment="1">
      <alignment horizontal="center"/>
    </xf>
    <xf numFmtId="43" fontId="3" fillId="3" borderId="1" xfId="1" applyFont="1" applyFill="1" applyBorder="1" applyAlignment="1">
      <alignment horizontal="center"/>
    </xf>
    <xf numFmtId="164" fontId="3" fillId="3" borderId="2" xfId="1" applyNumberFormat="1" applyFont="1" applyFill="1" applyBorder="1" applyAlignment="1">
      <alignment horizontal="center"/>
    </xf>
    <xf numFmtId="43" fontId="3" fillId="3" borderId="2" xfId="1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43" fontId="3" fillId="2" borderId="2" xfId="1" applyFont="1" applyFill="1" applyBorder="1" applyAlignment="1">
      <alignment horizontal="center"/>
    </xf>
    <xf numFmtId="164" fontId="3" fillId="4" borderId="1" xfId="1" applyNumberFormat="1" applyFont="1" applyFill="1" applyBorder="1" applyAlignment="1">
      <alignment horizontal="center"/>
    </xf>
    <xf numFmtId="43" fontId="3" fillId="4" borderId="1" xfId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right"/>
    </xf>
    <xf numFmtId="43" fontId="3" fillId="2" borderId="2" xfId="1" applyNumberFormat="1" applyFont="1" applyFill="1" applyBorder="1" applyAlignment="1">
      <alignment horizontal="center"/>
    </xf>
    <xf numFmtId="43" fontId="3" fillId="2" borderId="1" xfId="0" applyNumberFormat="1" applyFont="1" applyFill="1" applyBorder="1" applyAlignment="1">
      <alignment horizontal="right"/>
    </xf>
    <xf numFmtId="166" fontId="3" fillId="2" borderId="1" xfId="1" applyNumberFormat="1" applyFont="1" applyFill="1" applyBorder="1" applyAlignment="1">
      <alignment horizontal="center"/>
    </xf>
    <xf numFmtId="43" fontId="3" fillId="5" borderId="1" xfId="1" applyFont="1" applyFill="1" applyBorder="1" applyAlignment="1">
      <alignment horizontal="center"/>
    </xf>
    <xf numFmtId="166" fontId="3" fillId="2" borderId="2" xfId="1" applyNumberFormat="1" applyFont="1" applyFill="1" applyBorder="1" applyAlignment="1">
      <alignment horizontal="center"/>
    </xf>
    <xf numFmtId="166" fontId="3" fillId="4" borderId="1" xfId="1" applyNumberFormat="1" applyFont="1" applyFill="1" applyBorder="1" applyAlignment="1">
      <alignment horizontal="center"/>
    </xf>
    <xf numFmtId="166" fontId="3" fillId="3" borderId="1" xfId="1" applyNumberFormat="1" applyFont="1" applyFill="1" applyBorder="1" applyAlignment="1">
      <alignment horizontal="center"/>
    </xf>
    <xf numFmtId="166" fontId="3" fillId="3" borderId="2" xfId="1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165" fontId="4" fillId="2" borderId="2" xfId="0" applyNumberFormat="1" applyFont="1" applyFill="1" applyBorder="1" applyAlignment="1">
      <alignment horizontal="center"/>
    </xf>
    <xf numFmtId="165" fontId="4" fillId="2" borderId="3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ibale/Desktop/USB-INFO/BUDGETS/2025/1.HARVESTING%20PROGRAMME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ATE 2025"/>
      <sheetName val="HARV.2025"/>
      <sheetName val="LIWALADZI 2025"/>
      <sheetName val="KASITU 2025"/>
      <sheetName val="SEEDCANE 2025"/>
      <sheetName val="ESTIMATE ADJUSTMENT"/>
      <sheetName val="SCHEDULED CUT DATES"/>
    </sheetNames>
    <sheetDataSet>
      <sheetData sheetId="0">
        <row r="13">
          <cell r="C13" t="str">
            <v>N41</v>
          </cell>
        </row>
        <row r="14">
          <cell r="C14" t="str">
            <v>97F1692</v>
          </cell>
        </row>
        <row r="15">
          <cell r="C15" t="str">
            <v>R570</v>
          </cell>
        </row>
        <row r="16">
          <cell r="C16" t="str">
            <v>N41</v>
          </cell>
        </row>
        <row r="17">
          <cell r="C17" t="str">
            <v>R570</v>
          </cell>
        </row>
      </sheetData>
      <sheetData sheetId="1" refreshError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tabSelected="1" workbookViewId="0">
      <selection activeCell="F1" sqref="F1"/>
    </sheetView>
  </sheetViews>
  <sheetFormatPr defaultRowHeight="15" x14ac:dyDescent="0.25"/>
  <cols>
    <col min="1" max="1" width="12" bestFit="1" customWidth="1"/>
    <col min="2" max="2" width="11.42578125" bestFit="1" customWidth="1"/>
    <col min="3" max="3" width="10.140625" bestFit="1" customWidth="1"/>
    <col min="4" max="4" width="12" bestFit="1" customWidth="1"/>
    <col min="5" max="5" width="39.42578125" bestFit="1" customWidth="1"/>
    <col min="6" max="6" width="8.7109375" bestFit="1" customWidth="1"/>
    <col min="7" max="7" width="11.85546875" bestFit="1" customWidth="1"/>
    <col min="8" max="8" width="9.7109375" bestFit="1" customWidth="1"/>
    <col min="9" max="9" width="13.28515625" bestFit="1" customWidth="1"/>
    <col min="10" max="10" width="10.140625" bestFit="1" customWidth="1"/>
    <col min="11" max="12" width="12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7.25" x14ac:dyDescent="0.3">
      <c r="A2" s="45">
        <v>45772</v>
      </c>
      <c r="B2" s="2" t="s">
        <v>12</v>
      </c>
      <c r="C2" s="8" t="s">
        <v>59</v>
      </c>
      <c r="D2" s="16" t="s">
        <v>65</v>
      </c>
      <c r="E2" s="17">
        <v>45434</v>
      </c>
      <c r="F2" s="26">
        <v>85.7</v>
      </c>
      <c r="G2" s="27">
        <v>57.075666457230056</v>
      </c>
      <c r="H2" s="27">
        <v>12</v>
      </c>
      <c r="I2" s="27">
        <v>12.39</v>
      </c>
      <c r="J2" s="39">
        <v>10.141</v>
      </c>
      <c r="K2" s="27">
        <v>869.08370000000014</v>
      </c>
      <c r="L2" s="40">
        <v>104.29004399999999</v>
      </c>
    </row>
    <row r="3" spans="1:12" ht="17.25" x14ac:dyDescent="0.3">
      <c r="A3" s="45">
        <v>45776.905295520832</v>
      </c>
      <c r="B3" s="2" t="s">
        <v>13</v>
      </c>
      <c r="C3" s="8" t="s">
        <v>60</v>
      </c>
      <c r="D3" s="16" t="s">
        <v>66</v>
      </c>
      <c r="E3" s="17">
        <v>45419</v>
      </c>
      <c r="F3" s="26">
        <v>105</v>
      </c>
      <c r="G3" s="27">
        <v>114.56902909618631</v>
      </c>
      <c r="H3" s="27">
        <v>12</v>
      </c>
      <c r="I3" s="27">
        <v>12.042349159412586</v>
      </c>
      <c r="J3" s="39">
        <v>42.033000000000001</v>
      </c>
      <c r="K3" s="27">
        <v>4413.4650000000001</v>
      </c>
      <c r="L3" s="40">
        <v>529.61580000000004</v>
      </c>
    </row>
    <row r="4" spans="1:12" ht="17.25" x14ac:dyDescent="0.3">
      <c r="A4" s="45">
        <v>45785.502654895834</v>
      </c>
      <c r="B4" s="2" t="s">
        <v>14</v>
      </c>
      <c r="C4" s="8" t="s">
        <v>59</v>
      </c>
      <c r="D4" s="16" t="s">
        <v>65</v>
      </c>
      <c r="E4" s="17">
        <v>45424</v>
      </c>
      <c r="F4" s="26">
        <v>90</v>
      </c>
      <c r="G4" s="27">
        <v>94.985826645905718</v>
      </c>
      <c r="H4" s="27">
        <v>12</v>
      </c>
      <c r="I4" s="27">
        <v>11.940893863671707</v>
      </c>
      <c r="J4" s="39">
        <v>25.047000000000001</v>
      </c>
      <c r="K4" s="27">
        <v>2254.2300000000005</v>
      </c>
      <c r="L4" s="40">
        <v>270.50760000000002</v>
      </c>
    </row>
    <row r="5" spans="1:12" ht="17.25" x14ac:dyDescent="0.3">
      <c r="A5" s="45">
        <v>45791.850811145836</v>
      </c>
      <c r="B5" s="2" t="s">
        <v>15</v>
      </c>
      <c r="C5" s="8" t="s">
        <v>59</v>
      </c>
      <c r="D5" s="16" t="s">
        <v>65</v>
      </c>
      <c r="E5" s="17">
        <v>45413</v>
      </c>
      <c r="F5" s="26">
        <v>87</v>
      </c>
      <c r="G5" s="27">
        <v>94.729507610948332</v>
      </c>
      <c r="H5" s="27">
        <v>12</v>
      </c>
      <c r="I5" s="27">
        <v>12.71</v>
      </c>
      <c r="J5" s="39">
        <v>13.993</v>
      </c>
      <c r="K5" s="27">
        <v>1217.3910000000001</v>
      </c>
      <c r="L5" s="40">
        <v>146.08691999999999</v>
      </c>
    </row>
    <row r="6" spans="1:12" ht="17.25" x14ac:dyDescent="0.3">
      <c r="A6" s="45">
        <v>45797.118926770832</v>
      </c>
      <c r="B6" s="2" t="s">
        <v>16</v>
      </c>
      <c r="C6" s="8" t="s">
        <v>61</v>
      </c>
      <c r="D6" s="16" t="s">
        <v>67</v>
      </c>
      <c r="E6" s="17">
        <v>45461</v>
      </c>
      <c r="F6" s="26">
        <v>90.16</v>
      </c>
      <c r="G6" s="27">
        <v>87.543845726529639</v>
      </c>
      <c r="H6" s="27">
        <v>12.5</v>
      </c>
      <c r="I6" s="27">
        <v>12.40449988215458</v>
      </c>
      <c r="J6" s="39">
        <v>12.795999999999999</v>
      </c>
      <c r="K6" s="27">
        <v>1153.6873599999999</v>
      </c>
      <c r="L6" s="40">
        <v>144.21091999999999</v>
      </c>
    </row>
    <row r="7" spans="1:12" ht="17.25" x14ac:dyDescent="0.3">
      <c r="A7" s="45">
        <v>45782</v>
      </c>
      <c r="B7" s="3" t="s">
        <v>11</v>
      </c>
      <c r="C7" s="9" t="s">
        <v>59</v>
      </c>
      <c r="D7" s="18" t="s">
        <v>68</v>
      </c>
      <c r="E7" s="19">
        <v>45467</v>
      </c>
      <c r="F7" s="28">
        <v>25</v>
      </c>
      <c r="G7" s="29">
        <v>28.064284431675343</v>
      </c>
      <c r="H7" s="29">
        <v>12</v>
      </c>
      <c r="I7" s="29">
        <v>11.894235075820591</v>
      </c>
      <c r="J7" s="29">
        <v>8.907</v>
      </c>
      <c r="K7" s="29">
        <v>222.67500000000001</v>
      </c>
      <c r="L7" s="40">
        <v>26.721</v>
      </c>
    </row>
    <row r="8" spans="1:12" ht="17.25" x14ac:dyDescent="0.3">
      <c r="A8" s="46">
        <v>45802.320684437502</v>
      </c>
      <c r="B8" s="2" t="s">
        <v>27</v>
      </c>
      <c r="C8" s="8" t="s">
        <v>59</v>
      </c>
      <c r="D8" s="16" t="s">
        <v>69</v>
      </c>
      <c r="E8" s="17">
        <v>45431</v>
      </c>
      <c r="F8" s="26">
        <v>85</v>
      </c>
      <c r="G8" s="27">
        <v>92.293499858075506</v>
      </c>
      <c r="H8" s="27">
        <v>12.5</v>
      </c>
      <c r="I8" s="27">
        <v>12.56</v>
      </c>
      <c r="J8" s="39">
        <v>21.138000000000002</v>
      </c>
      <c r="K8" s="27">
        <v>1796.7300000000002</v>
      </c>
      <c r="L8" s="40">
        <v>224.59125000000003</v>
      </c>
    </row>
    <row r="9" spans="1:12" ht="17.25" x14ac:dyDescent="0.3">
      <c r="A9" s="46">
        <v>45808.192278187504</v>
      </c>
      <c r="B9" s="2" t="s">
        <v>28</v>
      </c>
      <c r="C9" s="8" t="s">
        <v>61</v>
      </c>
      <c r="D9" s="16" t="s">
        <v>70</v>
      </c>
      <c r="E9" s="17">
        <v>45433</v>
      </c>
      <c r="F9" s="26">
        <v>112</v>
      </c>
      <c r="G9" s="27">
        <v>132.36710369487483</v>
      </c>
      <c r="H9" s="27">
        <v>12.5</v>
      </c>
      <c r="I9" s="27">
        <v>11.9716</v>
      </c>
      <c r="J9" s="39">
        <v>4.1950000000000003</v>
      </c>
      <c r="K9" s="27">
        <v>469.84000000000003</v>
      </c>
      <c r="L9" s="40">
        <v>58.730000000000004</v>
      </c>
    </row>
    <row r="10" spans="1:12" ht="17.25" x14ac:dyDescent="0.3">
      <c r="A10" s="46">
        <v>45812.681694854167</v>
      </c>
      <c r="B10" s="2" t="s">
        <v>29</v>
      </c>
      <c r="C10" s="8" t="s">
        <v>62</v>
      </c>
      <c r="D10" s="16" t="s">
        <v>71</v>
      </c>
      <c r="E10" s="17">
        <v>45575</v>
      </c>
      <c r="F10" s="26">
        <v>62</v>
      </c>
      <c r="G10" s="27">
        <v>44.368450082735784</v>
      </c>
      <c r="H10" s="27">
        <v>12.5</v>
      </c>
      <c r="I10" s="27">
        <v>12.057900298359026</v>
      </c>
      <c r="J10" s="39">
        <v>14.504000000000001</v>
      </c>
      <c r="K10" s="27">
        <v>899.24800000000005</v>
      </c>
      <c r="L10" s="40">
        <v>112.40600000000001</v>
      </c>
    </row>
    <row r="11" spans="1:12" ht="17.25" x14ac:dyDescent="0.3">
      <c r="A11" s="46">
        <v>45817.618411520831</v>
      </c>
      <c r="B11" s="2" t="s">
        <v>30</v>
      </c>
      <c r="C11" s="8" t="s">
        <v>59</v>
      </c>
      <c r="D11" s="16" t="s">
        <v>72</v>
      </c>
      <c r="E11" s="17">
        <v>45446</v>
      </c>
      <c r="F11" s="26">
        <v>82</v>
      </c>
      <c r="G11" s="27">
        <v>90.215287856797289</v>
      </c>
      <c r="H11" s="27">
        <v>12.5</v>
      </c>
      <c r="I11" s="27">
        <v>12.71868436340886</v>
      </c>
      <c r="J11" s="39">
        <v>24.803999999999998</v>
      </c>
      <c r="K11" s="27">
        <v>2033.9279999999999</v>
      </c>
      <c r="L11" s="40">
        <v>254.24099999999999</v>
      </c>
    </row>
    <row r="12" spans="1:12" ht="17.25" x14ac:dyDescent="0.3">
      <c r="A12" s="46">
        <v>45823.737086520829</v>
      </c>
      <c r="B12" s="2" t="s">
        <v>31</v>
      </c>
      <c r="C12" s="8" t="s">
        <v>62</v>
      </c>
      <c r="D12" s="16" t="s">
        <v>73</v>
      </c>
      <c r="E12" s="17">
        <v>45473</v>
      </c>
      <c r="F12" s="26">
        <v>100</v>
      </c>
      <c r="G12" s="27">
        <v>100.24483378256964</v>
      </c>
      <c r="H12" s="27">
        <v>12</v>
      </c>
      <c r="I12" s="27">
        <v>12.68</v>
      </c>
      <c r="J12" s="39">
        <v>8.423</v>
      </c>
      <c r="K12" s="27">
        <v>842.3</v>
      </c>
      <c r="L12" s="40">
        <v>101.07599999999999</v>
      </c>
    </row>
    <row r="13" spans="1:12" ht="17.25" x14ac:dyDescent="0.3">
      <c r="A13" s="46">
        <v>45824</v>
      </c>
      <c r="B13" s="2" t="s">
        <v>32</v>
      </c>
      <c r="C13" s="8" t="s">
        <v>63</v>
      </c>
      <c r="D13" s="16" t="s">
        <v>69</v>
      </c>
      <c r="E13" s="17">
        <v>45453</v>
      </c>
      <c r="F13" s="26">
        <v>105</v>
      </c>
      <c r="G13" s="27">
        <v>117.04460022350909</v>
      </c>
      <c r="H13" s="27">
        <v>12.5</v>
      </c>
      <c r="I13" s="27">
        <v>12.597802216879185</v>
      </c>
      <c r="J13" s="39">
        <v>19.686</v>
      </c>
      <c r="K13" s="27">
        <v>2067.0300000000002</v>
      </c>
      <c r="L13" s="40">
        <v>258.37875000000003</v>
      </c>
    </row>
    <row r="14" spans="1:12" ht="17.25" x14ac:dyDescent="0.3">
      <c r="A14" s="46">
        <v>45825</v>
      </c>
      <c r="B14" s="4" t="s">
        <v>18</v>
      </c>
      <c r="C14" s="10" t="s">
        <v>63</v>
      </c>
      <c r="D14" s="20" t="s">
        <v>74</v>
      </c>
      <c r="E14" s="21">
        <v>45458</v>
      </c>
      <c r="F14" s="30">
        <v>35</v>
      </c>
      <c r="G14" s="31">
        <v>32.521155137676296</v>
      </c>
      <c r="H14" s="31">
        <v>12</v>
      </c>
      <c r="I14" s="31">
        <v>11.38</v>
      </c>
      <c r="J14" s="29">
        <v>7.4450000000000003</v>
      </c>
      <c r="K14" s="29">
        <v>260.57499999999999</v>
      </c>
      <c r="L14" s="40">
        <v>31.268999999999998</v>
      </c>
    </row>
    <row r="15" spans="1:12" ht="18" thickBot="1" x14ac:dyDescent="0.35">
      <c r="A15" s="46">
        <v>45826</v>
      </c>
      <c r="B15" s="4" t="s">
        <v>19</v>
      </c>
      <c r="C15" s="10" t="s">
        <v>63</v>
      </c>
      <c r="D15" s="20" t="s">
        <v>75</v>
      </c>
      <c r="E15" s="21">
        <v>45427</v>
      </c>
      <c r="F15" s="30">
        <v>60</v>
      </c>
      <c r="G15" s="31">
        <v>61.956309586367389</v>
      </c>
      <c r="H15" s="31">
        <v>12</v>
      </c>
      <c r="I15" s="31">
        <v>9.940993369748103</v>
      </c>
      <c r="J15" s="29">
        <v>13.320999999999998</v>
      </c>
      <c r="K15" s="29">
        <v>799.25999999999988</v>
      </c>
      <c r="L15" s="40">
        <v>95.91119999999998</v>
      </c>
    </row>
    <row r="16" spans="1:12" ht="18" thickTop="1" x14ac:dyDescent="0.3">
      <c r="A16" s="47">
        <v>45834.767638604164</v>
      </c>
      <c r="B16" s="2" t="s">
        <v>33</v>
      </c>
      <c r="C16" s="11" t="str">
        <f>'[1]ESTATE 2025'!C13</f>
        <v>N41</v>
      </c>
      <c r="D16" s="16" t="s">
        <v>69</v>
      </c>
      <c r="E16" s="17">
        <v>45594</v>
      </c>
      <c r="F16" s="26">
        <v>70</v>
      </c>
      <c r="G16" s="27">
        <v>72.550711411623169</v>
      </c>
      <c r="H16" s="27">
        <v>12.5</v>
      </c>
      <c r="I16" s="27">
        <v>13.381174284440073</v>
      </c>
      <c r="J16" s="39">
        <v>24.106999999999999</v>
      </c>
      <c r="K16" s="27">
        <v>1687.4899999999998</v>
      </c>
      <c r="L16" s="40">
        <v>210.93624999999997</v>
      </c>
    </row>
    <row r="17" spans="1:12" ht="17.25" x14ac:dyDescent="0.3">
      <c r="A17" s="45">
        <v>45840.525440687496</v>
      </c>
      <c r="B17" s="2" t="s">
        <v>34</v>
      </c>
      <c r="C17" s="11" t="str">
        <f>'[1]ESTATE 2025'!C14</f>
        <v>97F1692</v>
      </c>
      <c r="D17" s="16" t="s">
        <v>73</v>
      </c>
      <c r="E17" s="17">
        <v>45479</v>
      </c>
      <c r="F17" s="26">
        <v>98</v>
      </c>
      <c r="G17" s="27">
        <v>103.14139516808082</v>
      </c>
      <c r="H17" s="27">
        <v>12.5</v>
      </c>
      <c r="I17" s="27">
        <v>13.88</v>
      </c>
      <c r="J17" s="39">
        <v>15.696999999999999</v>
      </c>
      <c r="K17" s="27">
        <v>1538.306</v>
      </c>
      <c r="L17" s="40">
        <v>192.28825000000001</v>
      </c>
    </row>
    <row r="18" spans="1:12" ht="17.25" x14ac:dyDescent="0.3">
      <c r="A18" s="45">
        <v>45846.127842770831</v>
      </c>
      <c r="B18" s="2" t="s">
        <v>35</v>
      </c>
      <c r="C18" s="11" t="str">
        <f>'[1]ESTATE 2025'!C15</f>
        <v>R570</v>
      </c>
      <c r="D18" s="16" t="s">
        <v>73</v>
      </c>
      <c r="E18" s="17">
        <v>45454</v>
      </c>
      <c r="F18" s="26">
        <v>100</v>
      </c>
      <c r="G18" s="27">
        <v>94.770864596560102</v>
      </c>
      <c r="H18" s="27">
        <v>12.5</v>
      </c>
      <c r="I18" s="27">
        <v>13.8</v>
      </c>
      <c r="J18" s="39">
        <v>35.623999999999995</v>
      </c>
      <c r="K18" s="27">
        <v>3562.3999999999996</v>
      </c>
      <c r="L18" s="40">
        <v>445.29999999999995</v>
      </c>
    </row>
    <row r="19" spans="1:12" ht="17.25" x14ac:dyDescent="0.3">
      <c r="A19" s="45">
        <v>45853.838676104162</v>
      </c>
      <c r="B19" s="2" t="s">
        <v>36</v>
      </c>
      <c r="C19" s="11" t="str">
        <f>'[1]ESTATE 2025'!C16</f>
        <v>N41</v>
      </c>
      <c r="D19" s="16" t="s">
        <v>69</v>
      </c>
      <c r="E19" s="17">
        <v>45443</v>
      </c>
      <c r="F19" s="26">
        <v>100</v>
      </c>
      <c r="G19" s="27">
        <v>109.41661078647381</v>
      </c>
      <c r="H19" s="27">
        <v>12</v>
      </c>
      <c r="I19" s="27">
        <v>11.26</v>
      </c>
      <c r="J19" s="39">
        <v>10.439</v>
      </c>
      <c r="K19" s="27">
        <v>1043.9000000000001</v>
      </c>
      <c r="L19" s="40">
        <v>125.268</v>
      </c>
    </row>
    <row r="20" spans="1:12" ht="17.25" x14ac:dyDescent="0.3">
      <c r="A20" s="45">
        <v>45858.926071937494</v>
      </c>
      <c r="B20" s="2" t="s">
        <v>37</v>
      </c>
      <c r="C20" s="11" t="str">
        <f>'[1]ESTATE 2025'!C17</f>
        <v>R570</v>
      </c>
      <c r="D20" s="16" t="s">
        <v>76</v>
      </c>
      <c r="E20" s="17">
        <v>45626</v>
      </c>
      <c r="F20" s="26">
        <v>50</v>
      </c>
      <c r="G20" s="27">
        <v>61.673151750972778</v>
      </c>
      <c r="H20" s="27">
        <v>12.5</v>
      </c>
      <c r="I20" s="27">
        <v>11.047798299734474</v>
      </c>
      <c r="J20" s="39">
        <v>8.7379999999999995</v>
      </c>
      <c r="K20" s="27">
        <v>436.9</v>
      </c>
      <c r="L20" s="40">
        <v>54.612499999999997</v>
      </c>
    </row>
    <row r="21" spans="1:12" ht="17.25" x14ac:dyDescent="0.3">
      <c r="A21" s="45">
        <v>45863.381176104158</v>
      </c>
      <c r="B21" s="5" t="s">
        <v>38</v>
      </c>
      <c r="C21" s="12" t="s">
        <v>61</v>
      </c>
      <c r="D21" s="22" t="s">
        <v>67</v>
      </c>
      <c r="E21" s="23">
        <v>45512</v>
      </c>
      <c r="F21" s="32">
        <v>88</v>
      </c>
      <c r="G21" s="33">
        <v>82.576902025177887</v>
      </c>
      <c r="H21" s="33">
        <v>12.5</v>
      </c>
      <c r="I21" s="33">
        <v>12.43</v>
      </c>
      <c r="J21" s="41">
        <v>9.1349999999999998</v>
      </c>
      <c r="K21" s="27">
        <v>803.88</v>
      </c>
      <c r="L21" s="40">
        <v>100.485</v>
      </c>
    </row>
    <row r="22" spans="1:12" ht="17.25" x14ac:dyDescent="0.3">
      <c r="A22" s="45">
        <v>45868.218551104161</v>
      </c>
      <c r="B22" s="5" t="s">
        <v>17</v>
      </c>
      <c r="C22" s="12" t="s">
        <v>62</v>
      </c>
      <c r="D22" s="22" t="s">
        <v>77</v>
      </c>
      <c r="E22" s="23">
        <v>45460</v>
      </c>
      <c r="F22" s="32">
        <v>90</v>
      </c>
      <c r="G22" s="33">
        <v>102.99929922915209</v>
      </c>
      <c r="H22" s="33">
        <v>12.5</v>
      </c>
      <c r="I22" s="33">
        <v>12.98</v>
      </c>
      <c r="J22" s="41">
        <v>17.605</v>
      </c>
      <c r="K22" s="27">
        <v>1584.45</v>
      </c>
      <c r="L22" s="40">
        <v>198.05625000000001</v>
      </c>
    </row>
    <row r="23" spans="1:12" ht="17.25" x14ac:dyDescent="0.3">
      <c r="A23" s="45">
        <v>45873.869019854159</v>
      </c>
      <c r="B23" s="5" t="s">
        <v>39</v>
      </c>
      <c r="C23" s="12" t="s">
        <v>64</v>
      </c>
      <c r="D23" s="22" t="s">
        <v>71</v>
      </c>
      <c r="E23" s="23">
        <v>45501</v>
      </c>
      <c r="F23" s="32">
        <v>80</v>
      </c>
      <c r="G23" s="33">
        <v>87.134009697266038</v>
      </c>
      <c r="H23" s="33">
        <v>12.5</v>
      </c>
      <c r="I23" s="33">
        <v>13.751707668351623</v>
      </c>
      <c r="J23" s="41">
        <v>24.542999999999999</v>
      </c>
      <c r="K23" s="27">
        <v>1963.44</v>
      </c>
      <c r="L23" s="40">
        <v>245.43</v>
      </c>
    </row>
    <row r="24" spans="1:12" ht="17.25" x14ac:dyDescent="0.3">
      <c r="A24" s="45">
        <v>45879.914269854162</v>
      </c>
      <c r="B24" s="5" t="s">
        <v>40</v>
      </c>
      <c r="C24" s="12" t="s">
        <v>62</v>
      </c>
      <c r="D24" s="22" t="s">
        <v>71</v>
      </c>
      <c r="E24" s="23">
        <v>45622</v>
      </c>
      <c r="F24" s="32">
        <v>50</v>
      </c>
      <c r="G24" s="33">
        <v>40.02193211488251</v>
      </c>
      <c r="H24" s="33">
        <v>12</v>
      </c>
      <c r="I24" s="33">
        <v>11.420630985621463</v>
      </c>
      <c r="J24" s="41">
        <v>19.149999999999999</v>
      </c>
      <c r="K24" s="27">
        <v>957.5</v>
      </c>
      <c r="L24" s="40">
        <v>114.89999999999999</v>
      </c>
    </row>
    <row r="25" spans="1:12" ht="17.25" x14ac:dyDescent="0.3">
      <c r="A25" s="45">
        <v>45880</v>
      </c>
      <c r="B25" s="4" t="s">
        <v>20</v>
      </c>
      <c r="C25" s="10" t="s">
        <v>63</v>
      </c>
      <c r="D25" s="20" t="s">
        <v>70</v>
      </c>
      <c r="E25" s="21">
        <v>45436</v>
      </c>
      <c r="F25" s="30">
        <v>45</v>
      </c>
      <c r="G25" s="31">
        <v>41.435008665511262</v>
      </c>
      <c r="H25" s="31">
        <v>12</v>
      </c>
      <c r="I25" s="31">
        <v>11.44</v>
      </c>
      <c r="J25" s="29">
        <v>2.8849999999999998</v>
      </c>
      <c r="K25" s="29">
        <v>129.82499999999999</v>
      </c>
      <c r="L25" s="40">
        <v>15.578999999999999</v>
      </c>
    </row>
    <row r="26" spans="1:12" ht="17.25" x14ac:dyDescent="0.3">
      <c r="A26" s="45">
        <v>45884.911665687498</v>
      </c>
      <c r="B26" s="5" t="s">
        <v>41</v>
      </c>
      <c r="C26" s="5" t="s">
        <v>62</v>
      </c>
      <c r="D26" s="5" t="s">
        <v>67</v>
      </c>
      <c r="E26" s="23">
        <v>45522</v>
      </c>
      <c r="F26" s="5">
        <v>58.56</v>
      </c>
      <c r="G26" s="5">
        <v>57.023372359269025</v>
      </c>
      <c r="H26" s="5">
        <v>12</v>
      </c>
      <c r="I26" s="5">
        <v>12.77</v>
      </c>
      <c r="J26" s="5">
        <v>23.146999999999998</v>
      </c>
      <c r="K26" s="27">
        <v>1355.4883199999999</v>
      </c>
      <c r="L26" s="40">
        <v>162.65859839999999</v>
      </c>
    </row>
    <row r="27" spans="1:12" ht="17.25" x14ac:dyDescent="0.3">
      <c r="A27" s="45">
        <v>45890.323632687498</v>
      </c>
      <c r="B27" s="5" t="s">
        <v>42</v>
      </c>
      <c r="C27" s="5" t="s">
        <v>61</v>
      </c>
      <c r="D27" s="5" t="s">
        <v>73</v>
      </c>
      <c r="E27" s="23">
        <v>45534</v>
      </c>
      <c r="F27" s="5">
        <v>90</v>
      </c>
      <c r="G27" s="5">
        <v>88.16279198188748</v>
      </c>
      <c r="H27" s="5">
        <v>12.5</v>
      </c>
      <c r="I27" s="5">
        <v>11.41</v>
      </c>
      <c r="J27" s="5">
        <v>19.280999999999999</v>
      </c>
      <c r="K27" s="27">
        <v>1735.29</v>
      </c>
      <c r="L27" s="40">
        <v>216.91125</v>
      </c>
    </row>
    <row r="28" spans="1:12" ht="17.25" x14ac:dyDescent="0.3">
      <c r="A28" s="45">
        <v>45891</v>
      </c>
      <c r="B28" s="6" t="s">
        <v>21</v>
      </c>
      <c r="C28" s="13" t="s">
        <v>63</v>
      </c>
      <c r="D28" s="24" t="s">
        <v>78</v>
      </c>
      <c r="E28" s="25">
        <v>45533</v>
      </c>
      <c r="F28" s="34">
        <v>55</v>
      </c>
      <c r="G28" s="35">
        <v>60.27006369426752</v>
      </c>
      <c r="H28" s="35">
        <v>12</v>
      </c>
      <c r="I28" s="35">
        <v>8.6999999999999993</v>
      </c>
      <c r="J28" s="42">
        <v>3.9249999999999998</v>
      </c>
      <c r="K28" s="35">
        <v>215.875</v>
      </c>
      <c r="L28" s="40">
        <v>25.904999999999998</v>
      </c>
    </row>
    <row r="29" spans="1:12" ht="17.25" x14ac:dyDescent="0.3">
      <c r="A29" s="45">
        <v>45892</v>
      </c>
      <c r="B29" s="6" t="s">
        <v>22</v>
      </c>
      <c r="C29" s="13" t="s">
        <v>63</v>
      </c>
      <c r="D29" s="24" t="s">
        <v>79</v>
      </c>
      <c r="E29" s="25">
        <v>45540</v>
      </c>
      <c r="F29" s="34">
        <v>55</v>
      </c>
      <c r="G29" s="35">
        <v>53.360269360269371</v>
      </c>
      <c r="H29" s="35">
        <v>12</v>
      </c>
      <c r="I29" s="35">
        <v>11.86</v>
      </c>
      <c r="J29" s="42">
        <v>3.069</v>
      </c>
      <c r="K29" s="35">
        <v>168.79499999999999</v>
      </c>
      <c r="L29" s="40">
        <v>20.255399999999998</v>
      </c>
    </row>
    <row r="30" spans="1:12" ht="17.25" x14ac:dyDescent="0.3">
      <c r="A30" s="45">
        <v>45896.131226437501</v>
      </c>
      <c r="B30" s="5" t="s">
        <v>43</v>
      </c>
      <c r="C30" s="14" t="s">
        <v>62</v>
      </c>
      <c r="D30" s="22" t="s">
        <v>71</v>
      </c>
      <c r="E30" s="23">
        <v>45510</v>
      </c>
      <c r="F30" s="32">
        <v>70</v>
      </c>
      <c r="G30" s="33">
        <v>78.278308321964531</v>
      </c>
      <c r="H30" s="33">
        <v>12.5</v>
      </c>
      <c r="I30" s="33">
        <v>12.56967206418331</v>
      </c>
      <c r="J30" s="41">
        <v>18.324999999999999</v>
      </c>
      <c r="K30" s="27">
        <v>1282.75</v>
      </c>
      <c r="L30" s="40">
        <v>160.34375</v>
      </c>
    </row>
    <row r="31" spans="1:12" ht="17.25" x14ac:dyDescent="0.3">
      <c r="A31" s="45">
        <v>45901.467424354167</v>
      </c>
      <c r="B31" s="5" t="s">
        <v>44</v>
      </c>
      <c r="C31" s="14" t="s">
        <v>63</v>
      </c>
      <c r="D31" s="22" t="s">
        <v>76</v>
      </c>
      <c r="E31" s="23">
        <v>45578</v>
      </c>
      <c r="F31" s="32">
        <v>80</v>
      </c>
      <c r="G31" s="33">
        <v>88.761518302476944</v>
      </c>
      <c r="H31" s="33">
        <v>12.5</v>
      </c>
      <c r="I31" s="33">
        <v>12.860618244974203</v>
      </c>
      <c r="J31" s="41">
        <v>23.657999999999998</v>
      </c>
      <c r="K31" s="27">
        <v>1892.6399999999996</v>
      </c>
      <c r="L31" s="40">
        <v>236.57999999999996</v>
      </c>
    </row>
    <row r="32" spans="1:12" ht="17.25" x14ac:dyDescent="0.3">
      <c r="A32" s="45">
        <v>45907.438924354166</v>
      </c>
      <c r="B32" s="5" t="s">
        <v>45</v>
      </c>
      <c r="C32" s="14" t="s">
        <v>62</v>
      </c>
      <c r="D32" s="22" t="s">
        <v>70</v>
      </c>
      <c r="E32" s="23">
        <v>45523</v>
      </c>
      <c r="F32" s="32">
        <v>95</v>
      </c>
      <c r="G32" s="33">
        <v>92.325630998933519</v>
      </c>
      <c r="H32" s="33">
        <v>12.5</v>
      </c>
      <c r="I32" s="33">
        <v>12.931506899950717</v>
      </c>
      <c r="J32" s="41">
        <v>14.065</v>
      </c>
      <c r="K32" s="27">
        <v>1336.175</v>
      </c>
      <c r="L32" s="40">
        <v>167.02187499999999</v>
      </c>
    </row>
    <row r="33" spans="1:12" ht="17.25" x14ac:dyDescent="0.3">
      <c r="A33" s="45">
        <v>45912.830773312497</v>
      </c>
      <c r="B33" s="5" t="s">
        <v>46</v>
      </c>
      <c r="C33" s="14" t="s">
        <v>59</v>
      </c>
      <c r="D33" s="22" t="s">
        <v>70</v>
      </c>
      <c r="E33" s="23">
        <v>45607</v>
      </c>
      <c r="F33" s="32">
        <v>50</v>
      </c>
      <c r="G33" s="33">
        <v>62.365818769823996</v>
      </c>
      <c r="H33" s="33">
        <v>12</v>
      </c>
      <c r="I33" s="33">
        <v>10.852292626498334</v>
      </c>
      <c r="J33" s="41">
        <v>16.079000000000001</v>
      </c>
      <c r="K33" s="27">
        <v>803.94999999999993</v>
      </c>
      <c r="L33" s="40">
        <v>96.47399999999999</v>
      </c>
    </row>
    <row r="34" spans="1:12" ht="17.25" x14ac:dyDescent="0.3">
      <c r="A34" s="45">
        <v>45913</v>
      </c>
      <c r="B34" s="7" t="s">
        <v>23</v>
      </c>
      <c r="C34" s="9" t="s">
        <v>60</v>
      </c>
      <c r="D34" s="18" t="s">
        <v>80</v>
      </c>
      <c r="E34" s="19">
        <v>45503</v>
      </c>
      <c r="F34" s="28">
        <v>25</v>
      </c>
      <c r="G34" s="29">
        <v>23.076631259484071</v>
      </c>
      <c r="H34" s="29">
        <v>12</v>
      </c>
      <c r="I34" s="29">
        <v>11.905275357553839</v>
      </c>
      <c r="J34" s="43">
        <v>1.9119999999999999</v>
      </c>
      <c r="K34" s="29">
        <v>47.8</v>
      </c>
      <c r="L34" s="40">
        <v>5.7359999999999998</v>
      </c>
    </row>
    <row r="35" spans="1:12" ht="17.25" x14ac:dyDescent="0.3">
      <c r="A35" s="45">
        <v>45917.668221229163</v>
      </c>
      <c r="B35" s="2" t="s">
        <v>47</v>
      </c>
      <c r="C35" s="11" t="s">
        <v>63</v>
      </c>
      <c r="D35" s="16" t="s">
        <v>70</v>
      </c>
      <c r="E35" s="17">
        <v>45552</v>
      </c>
      <c r="F35" s="26">
        <v>80</v>
      </c>
      <c r="G35" s="27">
        <v>77.775389575497059</v>
      </c>
      <c r="H35" s="27">
        <v>12.5</v>
      </c>
      <c r="I35" s="27">
        <v>13.588440007308595</v>
      </c>
      <c r="J35" s="39">
        <v>25.192999999999998</v>
      </c>
      <c r="K35" s="27">
        <v>2015.44</v>
      </c>
      <c r="L35" s="40">
        <v>251.93</v>
      </c>
    </row>
    <row r="36" spans="1:12" ht="17.25" x14ac:dyDescent="0.3">
      <c r="A36" s="45">
        <v>45918</v>
      </c>
      <c r="B36" s="4" t="s">
        <v>24</v>
      </c>
      <c r="C36" s="15" t="s">
        <v>60</v>
      </c>
      <c r="D36" s="20" t="s">
        <v>81</v>
      </c>
      <c r="E36" s="21">
        <v>45484</v>
      </c>
      <c r="F36" s="30">
        <v>25</v>
      </c>
      <c r="G36" s="31">
        <v>20.775236419617332</v>
      </c>
      <c r="H36" s="31">
        <v>12</v>
      </c>
      <c r="I36" s="31">
        <v>12.32338433241368</v>
      </c>
      <c r="J36" s="44">
        <v>18.957999999999998</v>
      </c>
      <c r="K36" s="29">
        <v>473.94999999999993</v>
      </c>
      <c r="L36" s="40">
        <v>56.873999999999988</v>
      </c>
    </row>
    <row r="37" spans="1:12" ht="17.25" x14ac:dyDescent="0.3">
      <c r="A37" s="45">
        <v>45919</v>
      </c>
      <c r="B37" s="4" t="s">
        <v>25</v>
      </c>
      <c r="C37" s="10" t="s">
        <v>62</v>
      </c>
      <c r="D37" s="20" t="s">
        <v>82</v>
      </c>
      <c r="E37" s="21">
        <v>45443</v>
      </c>
      <c r="F37" s="30">
        <v>30</v>
      </c>
      <c r="G37" s="31">
        <v>36.300776504146633</v>
      </c>
      <c r="H37" s="31">
        <v>12</v>
      </c>
      <c r="I37" s="31">
        <v>10.91</v>
      </c>
      <c r="J37" s="44">
        <v>13.905999999999999</v>
      </c>
      <c r="K37" s="29">
        <v>417.17999999999995</v>
      </c>
      <c r="L37" s="40">
        <v>50.061599999999991</v>
      </c>
    </row>
    <row r="38" spans="1:12" ht="17.25" x14ac:dyDescent="0.3">
      <c r="A38" s="45">
        <v>45920</v>
      </c>
      <c r="B38" s="4" t="s">
        <v>26</v>
      </c>
      <c r="C38" s="10" t="s">
        <v>62</v>
      </c>
      <c r="D38" s="20" t="s">
        <v>67</v>
      </c>
      <c r="E38" s="21">
        <v>45306</v>
      </c>
      <c r="F38" s="30">
        <v>40</v>
      </c>
      <c r="G38" s="31">
        <v>0</v>
      </c>
      <c r="H38" s="31">
        <v>12</v>
      </c>
      <c r="I38" s="31">
        <v>0</v>
      </c>
      <c r="J38" s="44">
        <v>2.4460000000000002</v>
      </c>
      <c r="K38" s="29">
        <v>97.84</v>
      </c>
      <c r="L38" s="40">
        <v>11.7408</v>
      </c>
    </row>
    <row r="39" spans="1:12" ht="17.25" x14ac:dyDescent="0.3">
      <c r="A39" s="45">
        <v>45923.767637895828</v>
      </c>
      <c r="B39" s="2" t="s">
        <v>48</v>
      </c>
      <c r="C39" s="14" t="s">
        <v>62</v>
      </c>
      <c r="D39" s="22" t="s">
        <v>73</v>
      </c>
      <c r="E39" s="23">
        <v>45514</v>
      </c>
      <c r="F39" s="32">
        <v>65</v>
      </c>
      <c r="G39" s="33">
        <v>46.924620235024364</v>
      </c>
      <c r="H39" s="33">
        <v>12.5</v>
      </c>
      <c r="I39" s="33">
        <v>11.400867334473491</v>
      </c>
      <c r="J39" s="39">
        <v>25.121999999999996</v>
      </c>
      <c r="K39" s="27">
        <v>1632.9299999999998</v>
      </c>
      <c r="L39" s="40">
        <v>204.11624999999998</v>
      </c>
    </row>
    <row r="40" spans="1:12" ht="17.25" x14ac:dyDescent="0.3">
      <c r="A40" s="45">
        <v>45929.468606645831</v>
      </c>
      <c r="B40" s="2" t="s">
        <v>49</v>
      </c>
      <c r="C40" s="14" t="s">
        <v>63</v>
      </c>
      <c r="D40" s="22" t="s">
        <v>71</v>
      </c>
      <c r="E40" s="23">
        <v>45563</v>
      </c>
      <c r="F40" s="32">
        <v>85</v>
      </c>
      <c r="G40" s="33">
        <v>95.729792685767535</v>
      </c>
      <c r="H40" s="33">
        <v>12.5</v>
      </c>
      <c r="I40" s="33">
        <v>12.966855424266607</v>
      </c>
      <c r="J40" s="39">
        <v>21.88</v>
      </c>
      <c r="K40" s="27">
        <v>1859.8</v>
      </c>
      <c r="L40" s="40">
        <v>232.47499999999999</v>
      </c>
    </row>
    <row r="41" spans="1:12" ht="17.25" x14ac:dyDescent="0.3">
      <c r="A41" s="45">
        <v>45935.4058983125</v>
      </c>
      <c r="B41" s="2" t="s">
        <v>50</v>
      </c>
      <c r="C41" s="14" t="s">
        <v>62</v>
      </c>
      <c r="D41" s="22" t="s">
        <v>67</v>
      </c>
      <c r="E41" s="23">
        <v>45569</v>
      </c>
      <c r="F41" s="32">
        <v>80</v>
      </c>
      <c r="G41" s="33">
        <v>48.68491494689578</v>
      </c>
      <c r="H41" s="33">
        <v>12.5</v>
      </c>
      <c r="I41" s="33">
        <v>11.526591287999716</v>
      </c>
      <c r="J41" s="39">
        <v>23.161999999999999</v>
      </c>
      <c r="K41" s="27">
        <v>1852.96</v>
      </c>
      <c r="L41" s="40">
        <v>231.62</v>
      </c>
    </row>
    <row r="42" spans="1:12" ht="17.25" x14ac:dyDescent="0.3">
      <c r="A42" s="45">
        <v>45941.336064979165</v>
      </c>
      <c r="B42" s="2" t="s">
        <v>51</v>
      </c>
      <c r="C42" s="14" t="s">
        <v>64</v>
      </c>
      <c r="D42" s="22" t="s">
        <v>71</v>
      </c>
      <c r="E42" s="23">
        <v>45619</v>
      </c>
      <c r="F42" s="32">
        <v>96</v>
      </c>
      <c r="G42" s="33">
        <v>89.145891043397967</v>
      </c>
      <c r="H42" s="33">
        <v>12.5</v>
      </c>
      <c r="I42" s="33">
        <v>11.981121627220471</v>
      </c>
      <c r="J42" s="39">
        <v>17.327999999999999</v>
      </c>
      <c r="K42" s="27">
        <v>1663.4880000000001</v>
      </c>
      <c r="L42" s="40">
        <v>207.93600000000001</v>
      </c>
    </row>
    <row r="43" spans="1:12" ht="17.25" x14ac:dyDescent="0.3">
      <c r="A43" s="45">
        <v>45942</v>
      </c>
      <c r="B43" s="4" t="s">
        <v>52</v>
      </c>
      <c r="C43" s="10" t="s">
        <v>62</v>
      </c>
      <c r="D43" s="20" t="s">
        <v>67</v>
      </c>
      <c r="E43" s="21">
        <v>45504</v>
      </c>
      <c r="F43" s="30">
        <v>35</v>
      </c>
      <c r="G43" s="31">
        <v>18.762024257632788</v>
      </c>
      <c r="H43" s="31">
        <v>12</v>
      </c>
      <c r="I43" s="31">
        <v>12.38</v>
      </c>
      <c r="J43" s="44">
        <v>2.391</v>
      </c>
      <c r="K43" s="29">
        <v>83.685000000000002</v>
      </c>
      <c r="L43" s="40">
        <v>10.042199999999999</v>
      </c>
    </row>
    <row r="44" spans="1:12" ht="17.25" x14ac:dyDescent="0.3">
      <c r="A44" s="45">
        <v>45947.068864979163</v>
      </c>
      <c r="B44" s="2" t="s">
        <v>53</v>
      </c>
      <c r="C44" s="14" t="s">
        <v>62</v>
      </c>
      <c r="D44" s="22" t="s">
        <v>70</v>
      </c>
      <c r="E44" s="23">
        <v>45613</v>
      </c>
      <c r="F44" s="32">
        <v>70</v>
      </c>
      <c r="G44" s="37">
        <v>63.185505358517375</v>
      </c>
      <c r="H44" s="37">
        <v>12</v>
      </c>
      <c r="I44" s="37">
        <v>11.998292257810599</v>
      </c>
      <c r="J44" s="39">
        <v>16.888999999999999</v>
      </c>
      <c r="K44" s="27">
        <v>1182.23</v>
      </c>
      <c r="L44" s="40">
        <v>141.86759999999998</v>
      </c>
    </row>
    <row r="45" spans="1:12" ht="17.25" x14ac:dyDescent="0.3">
      <c r="A45" s="45">
        <v>45952.300354562496</v>
      </c>
      <c r="B45" s="2" t="s">
        <v>54</v>
      </c>
      <c r="C45" s="14" t="s">
        <v>62</v>
      </c>
      <c r="D45" s="22" t="s">
        <v>73</v>
      </c>
      <c r="E45" s="23">
        <v>45615</v>
      </c>
      <c r="F45" s="36">
        <v>50</v>
      </c>
      <c r="G45" s="38">
        <v>53.685855972401896</v>
      </c>
      <c r="H45" s="38">
        <v>12</v>
      </c>
      <c r="I45" s="38">
        <v>11.502793652775658</v>
      </c>
      <c r="J45" s="2">
        <v>18.552000000000003</v>
      </c>
      <c r="K45" s="27">
        <v>927.60000000000014</v>
      </c>
      <c r="L45" s="40">
        <v>111.31200000000001</v>
      </c>
    </row>
    <row r="46" spans="1:12" ht="17.25" x14ac:dyDescent="0.3">
      <c r="A46" s="45">
        <v>45957.266604562494</v>
      </c>
      <c r="B46" s="2" t="s">
        <v>55</v>
      </c>
      <c r="C46" s="14" t="s">
        <v>64</v>
      </c>
      <c r="D46" s="22" t="s">
        <v>83</v>
      </c>
      <c r="E46" s="23">
        <v>45545</v>
      </c>
      <c r="F46" s="36">
        <v>90</v>
      </c>
      <c r="G46" s="38">
        <v>81.400996656784216</v>
      </c>
      <c r="H46" s="38">
        <v>12.5</v>
      </c>
      <c r="I46" s="38">
        <v>12.238208764384519</v>
      </c>
      <c r="J46" s="2">
        <v>31.706</v>
      </c>
      <c r="K46" s="27">
        <v>2853.54</v>
      </c>
      <c r="L46" s="40">
        <v>356.6925</v>
      </c>
    </row>
    <row r="47" spans="1:12" ht="17.25" x14ac:dyDescent="0.3">
      <c r="A47" s="45">
        <v>45965.239042062494</v>
      </c>
      <c r="B47" s="2" t="s">
        <v>56</v>
      </c>
      <c r="C47" s="14" t="s">
        <v>64</v>
      </c>
      <c r="D47" s="22" t="s">
        <v>71</v>
      </c>
      <c r="E47" s="23">
        <v>45572</v>
      </c>
      <c r="F47" s="36">
        <v>100</v>
      </c>
      <c r="G47" s="38">
        <v>97.858935043211602</v>
      </c>
      <c r="H47" s="38">
        <v>12.5</v>
      </c>
      <c r="I47" s="38">
        <v>13.185817332345737</v>
      </c>
      <c r="J47" s="2">
        <v>7.1739999999999995</v>
      </c>
      <c r="K47" s="27">
        <v>717.4</v>
      </c>
      <c r="L47" s="40">
        <v>89.674999999999997</v>
      </c>
    </row>
    <row r="48" spans="1:12" ht="17.25" x14ac:dyDescent="0.3">
      <c r="A48" s="45">
        <v>45970.986333729161</v>
      </c>
      <c r="B48" s="2" t="s">
        <v>57</v>
      </c>
      <c r="C48" s="14" t="s">
        <v>62</v>
      </c>
      <c r="D48" s="22" t="s">
        <v>77</v>
      </c>
      <c r="E48" s="23">
        <v>45620</v>
      </c>
      <c r="F48" s="36">
        <v>89.9</v>
      </c>
      <c r="G48" s="38">
        <v>77.661946902654861</v>
      </c>
      <c r="H48" s="38">
        <v>12.5</v>
      </c>
      <c r="I48" s="38">
        <v>11.607557373686728</v>
      </c>
      <c r="J48" s="2">
        <v>11.3</v>
      </c>
      <c r="K48" s="27">
        <v>1015.8700000000001</v>
      </c>
      <c r="L48" s="40">
        <v>126.98375000000001</v>
      </c>
    </row>
    <row r="49" spans="1:12" ht="17.25" x14ac:dyDescent="0.3">
      <c r="A49" s="45">
        <v>45977.044531645828</v>
      </c>
      <c r="B49" s="2" t="s">
        <v>58</v>
      </c>
      <c r="C49" s="14" t="s">
        <v>62</v>
      </c>
      <c r="D49" s="22" t="s">
        <v>73</v>
      </c>
      <c r="E49" s="23">
        <v>45616</v>
      </c>
      <c r="F49" s="36">
        <v>70</v>
      </c>
      <c r="G49" s="38">
        <v>55.8484349258649</v>
      </c>
      <c r="H49" s="38">
        <v>12.5</v>
      </c>
      <c r="I49" s="38">
        <v>12.78</v>
      </c>
      <c r="J49" s="2">
        <v>21.858000000000001</v>
      </c>
      <c r="K49" s="27">
        <v>1530.06</v>
      </c>
      <c r="L49" s="40">
        <v>191.25749999999999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HARV.2025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2025-06-30T14:36:10Z</dcterms:created>
  <dcterms:modified xsi:type="dcterms:W3CDTF">2025-07-03T22:04:46Z</dcterms:modified>
</cp:coreProperties>
</file>