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lungu\Desktop\DCGL\2025\"/>
    </mc:Choice>
  </mc:AlternateContent>
  <bookViews>
    <workbookView xWindow="0" yWindow="0" windowWidth="10800" windowHeight="6930"/>
  </bookViews>
  <sheets>
    <sheet name="IRRIGATION" sheetId="2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65" i="2" l="1"/>
  <c r="AR65" i="2"/>
  <c r="AO65" i="2"/>
  <c r="W83" i="2"/>
  <c r="T83" i="2"/>
  <c r="T84" i="2"/>
  <c r="Q83" i="2"/>
  <c r="N83" i="2"/>
  <c r="K83" i="2"/>
  <c r="H83" i="2"/>
  <c r="Z74" i="2"/>
  <c r="H86" i="2" l="1"/>
  <c r="H85" i="2" l="1"/>
  <c r="AF53" i="2" l="1"/>
  <c r="E83" i="2" l="1"/>
  <c r="E86" i="2"/>
  <c r="E73" i="2" l="1"/>
  <c r="E74" i="2"/>
  <c r="E75" i="2"/>
  <c r="E76" i="2"/>
  <c r="E77" i="2"/>
  <c r="E78" i="2"/>
  <c r="H73" i="2"/>
  <c r="H74" i="2"/>
  <c r="H75" i="2"/>
  <c r="H76" i="2"/>
  <c r="H77" i="2"/>
  <c r="K74" i="2"/>
  <c r="K75" i="2"/>
  <c r="K76" i="2"/>
  <c r="K77" i="2"/>
  <c r="N73" i="2"/>
  <c r="N74" i="2"/>
  <c r="N75" i="2"/>
  <c r="N76" i="2"/>
  <c r="N77" i="2"/>
  <c r="N78" i="2"/>
  <c r="N79" i="2"/>
  <c r="Q73" i="2"/>
  <c r="Q74" i="2"/>
  <c r="Q75" i="2"/>
  <c r="Q76" i="2"/>
  <c r="Q77" i="2"/>
  <c r="Q78" i="2"/>
  <c r="Q79" i="2"/>
  <c r="W74" i="2"/>
  <c r="W75" i="2"/>
  <c r="W76" i="2"/>
  <c r="W77" i="2"/>
  <c r="T74" i="2"/>
  <c r="T75" i="2"/>
  <c r="T76" i="2"/>
  <c r="AU38" i="2"/>
  <c r="E85" i="2" l="1"/>
  <c r="AL66" i="2" l="1"/>
  <c r="AL67" i="2"/>
  <c r="AL68" i="2"/>
  <c r="AL69" i="2"/>
  <c r="AL70" i="2"/>
  <c r="AL71" i="2"/>
  <c r="AL72" i="2"/>
  <c r="AL73" i="2"/>
  <c r="AL75" i="2"/>
  <c r="AL76" i="2"/>
  <c r="AL77" i="2"/>
  <c r="AL78" i="2"/>
  <c r="AL79" i="2"/>
  <c r="AL80" i="2"/>
  <c r="AL81" i="2"/>
  <c r="AL82" i="2"/>
  <c r="AL84" i="2"/>
  <c r="AL65" i="2"/>
  <c r="AI66" i="2"/>
  <c r="AI67" i="2"/>
  <c r="AI68" i="2"/>
  <c r="AI69" i="2"/>
  <c r="AI70" i="2"/>
  <c r="AI71" i="2"/>
  <c r="AI72" i="2"/>
  <c r="AI73" i="2"/>
  <c r="AI75" i="2"/>
  <c r="AI76" i="2"/>
  <c r="AI77" i="2"/>
  <c r="AI78" i="2"/>
  <c r="AI79" i="2"/>
  <c r="AI80" i="2"/>
  <c r="AI81" i="2"/>
  <c r="AI82" i="2"/>
  <c r="AI84" i="2"/>
  <c r="AI65" i="2"/>
  <c r="AF66" i="2"/>
  <c r="AF67" i="2"/>
  <c r="AF68" i="2"/>
  <c r="AF69" i="2"/>
  <c r="AF70" i="2"/>
  <c r="AF71" i="2"/>
  <c r="AF72" i="2"/>
  <c r="AF73" i="2"/>
  <c r="AF75" i="2"/>
  <c r="AF76" i="2"/>
  <c r="AF77" i="2"/>
  <c r="AF78" i="2"/>
  <c r="AF79" i="2"/>
  <c r="AF80" i="2"/>
  <c r="AF81" i="2"/>
  <c r="AF82" i="2"/>
  <c r="AF84" i="2"/>
  <c r="AF65" i="2"/>
  <c r="AC66" i="2"/>
  <c r="AC67" i="2"/>
  <c r="AC68" i="2"/>
  <c r="AC69" i="2"/>
  <c r="AC70" i="2"/>
  <c r="AC71" i="2"/>
  <c r="AC72" i="2"/>
  <c r="AC73" i="2"/>
  <c r="AC75" i="2"/>
  <c r="AC76" i="2"/>
  <c r="AC77" i="2"/>
  <c r="AC78" i="2"/>
  <c r="AC79" i="2"/>
  <c r="AC80" i="2"/>
  <c r="AC81" i="2"/>
  <c r="AC82" i="2"/>
  <c r="AC84" i="2"/>
  <c r="Z66" i="2"/>
  <c r="Z67" i="2"/>
  <c r="Z68" i="2"/>
  <c r="Z69" i="2"/>
  <c r="Z70" i="2"/>
  <c r="Z71" i="2"/>
  <c r="Z72" i="2"/>
  <c r="Z73" i="2"/>
  <c r="Z75" i="2"/>
  <c r="Z76" i="2"/>
  <c r="Z77" i="2"/>
  <c r="Z78" i="2"/>
  <c r="Z79" i="2"/>
  <c r="Z80" i="2"/>
  <c r="Z81" i="2"/>
  <c r="Z82" i="2"/>
  <c r="Z84" i="2"/>
  <c r="W66" i="2"/>
  <c r="W67" i="2"/>
  <c r="W68" i="2"/>
  <c r="W69" i="2"/>
  <c r="W70" i="2"/>
  <c r="W71" i="2"/>
  <c r="W72" i="2"/>
  <c r="W73" i="2"/>
  <c r="W78" i="2"/>
  <c r="W79" i="2"/>
  <c r="W80" i="2"/>
  <c r="W81" i="2"/>
  <c r="W82" i="2"/>
  <c r="W84" i="2"/>
  <c r="T66" i="2"/>
  <c r="T67" i="2"/>
  <c r="T68" i="2"/>
  <c r="T69" i="2"/>
  <c r="T70" i="2"/>
  <c r="T71" i="2"/>
  <c r="T72" i="2"/>
  <c r="T73" i="2"/>
  <c r="T77" i="2"/>
  <c r="T78" i="2"/>
  <c r="T79" i="2"/>
  <c r="T80" i="2"/>
  <c r="T81" i="2"/>
  <c r="T82" i="2"/>
  <c r="E82" i="2"/>
  <c r="E84" i="2"/>
  <c r="H81" i="2"/>
  <c r="H82" i="2"/>
  <c r="H84" i="2"/>
  <c r="K79" i="2"/>
  <c r="K80" i="2"/>
  <c r="K81" i="2"/>
  <c r="K82" i="2"/>
  <c r="K84" i="2"/>
  <c r="N80" i="2"/>
  <c r="N81" i="2"/>
  <c r="N82" i="2"/>
  <c r="N84" i="2"/>
  <c r="Q70" i="2"/>
  <c r="Q71" i="2"/>
  <c r="Q72" i="2"/>
  <c r="Q80" i="2"/>
  <c r="Q81" i="2"/>
  <c r="Q82" i="2"/>
  <c r="Q84" i="2"/>
  <c r="E81" i="2"/>
  <c r="H80" i="2" l="1"/>
  <c r="E80" i="2"/>
  <c r="K78" i="2"/>
  <c r="N72" i="2"/>
  <c r="N70" i="2" l="1"/>
  <c r="Q69" i="2"/>
  <c r="H79" i="2" l="1"/>
  <c r="K73" i="2"/>
  <c r="N69" i="2"/>
  <c r="H78" i="2" l="1"/>
  <c r="K72" i="2"/>
  <c r="N71" i="2"/>
  <c r="K71" i="2"/>
  <c r="S142" i="2" l="1"/>
  <c r="AL38" i="2"/>
  <c r="AC65" i="2"/>
  <c r="Z65" i="2"/>
  <c r="W65" i="2"/>
  <c r="CJ13" i="2" l="1"/>
  <c r="E79" i="2" l="1"/>
  <c r="K70" i="2"/>
  <c r="Q66" i="2" l="1"/>
  <c r="Q67" i="2"/>
  <c r="Q68" i="2"/>
  <c r="N67" i="2"/>
  <c r="N68" i="2"/>
  <c r="N66" i="2"/>
  <c r="D142" i="2" l="1"/>
  <c r="D141" i="2"/>
  <c r="D140" i="2"/>
  <c r="D139" i="2"/>
  <c r="D138" i="2"/>
  <c r="K69" i="2" l="1"/>
  <c r="D120" i="2" l="1"/>
  <c r="D119" i="2"/>
  <c r="D118" i="2"/>
  <c r="D117" i="2"/>
  <c r="D116" i="2"/>
  <c r="K66" i="2" l="1"/>
  <c r="K67" i="2"/>
  <c r="K68" i="2"/>
  <c r="T65" i="2" l="1"/>
  <c r="Q65" i="2"/>
  <c r="N65" i="2" l="1"/>
  <c r="K65" i="2"/>
  <c r="H66" i="2" l="1"/>
  <c r="H67" i="2"/>
  <c r="H68" i="2"/>
  <c r="H69" i="2"/>
  <c r="H70" i="2"/>
  <c r="H71" i="2"/>
  <c r="H72" i="2"/>
  <c r="E68" i="2"/>
  <c r="E69" i="2"/>
  <c r="E70" i="2"/>
  <c r="E71" i="2"/>
  <c r="E72" i="2"/>
  <c r="E66" i="2"/>
  <c r="E67" i="2"/>
  <c r="CE48" i="2"/>
  <c r="CB48" i="2"/>
  <c r="BY48" i="2"/>
  <c r="BV48" i="2"/>
  <c r="BS48" i="2"/>
  <c r="BP48" i="2"/>
  <c r="BM48" i="2"/>
  <c r="BJ48" i="2"/>
  <c r="BG48" i="2"/>
  <c r="BD48" i="2"/>
  <c r="BA48" i="2"/>
  <c r="AX48" i="2"/>
  <c r="AU48" i="2"/>
  <c r="AR48" i="2"/>
  <c r="AO48" i="2"/>
  <c r="AL48" i="2"/>
  <c r="AI48" i="2"/>
  <c r="AF48" i="2"/>
  <c r="AC48" i="2"/>
  <c r="Z48" i="2"/>
  <c r="W48" i="2"/>
  <c r="T48" i="2"/>
  <c r="Q48" i="2"/>
  <c r="N48" i="2"/>
  <c r="K48" i="2"/>
  <c r="H48" i="2"/>
  <c r="E48" i="2"/>
  <c r="CE47" i="2"/>
  <c r="CB47" i="2"/>
  <c r="BY47" i="2"/>
  <c r="BV47" i="2"/>
  <c r="BS47" i="2"/>
  <c r="BP47" i="2"/>
  <c r="BM47" i="2"/>
  <c r="BJ47" i="2"/>
  <c r="BG47" i="2"/>
  <c r="BD47" i="2"/>
  <c r="BA47" i="2"/>
  <c r="AX47" i="2"/>
  <c r="AU47" i="2"/>
  <c r="AR47" i="2"/>
  <c r="AO47" i="2"/>
  <c r="AL47" i="2"/>
  <c r="AI47" i="2"/>
  <c r="AF47" i="2"/>
  <c r="AC47" i="2"/>
  <c r="Z47" i="2"/>
  <c r="W47" i="2"/>
  <c r="T47" i="2"/>
  <c r="Q47" i="2"/>
  <c r="N47" i="2"/>
  <c r="K47" i="2"/>
  <c r="H47" i="2"/>
  <c r="E47" i="2"/>
  <c r="CE46" i="2"/>
  <c r="CB46" i="2"/>
  <c r="BY46" i="2"/>
  <c r="BV46" i="2"/>
  <c r="BS46" i="2"/>
  <c r="BP46" i="2"/>
  <c r="BM46" i="2"/>
  <c r="BJ46" i="2"/>
  <c r="BG46" i="2"/>
  <c r="BD46" i="2"/>
  <c r="BA46" i="2"/>
  <c r="AX46" i="2"/>
  <c r="AU46" i="2"/>
  <c r="AR46" i="2"/>
  <c r="AO46" i="2"/>
  <c r="AL46" i="2"/>
  <c r="AI46" i="2"/>
  <c r="AF46" i="2"/>
  <c r="AC46" i="2"/>
  <c r="Z46" i="2"/>
  <c r="W46" i="2"/>
  <c r="T46" i="2"/>
  <c r="Q46" i="2"/>
  <c r="N46" i="2"/>
  <c r="K46" i="2"/>
  <c r="H46" i="2"/>
  <c r="E46" i="2"/>
  <c r="CE45" i="2"/>
  <c r="CB45" i="2"/>
  <c r="BY45" i="2"/>
  <c r="BV45" i="2"/>
  <c r="BS45" i="2"/>
  <c r="BP45" i="2"/>
  <c r="BM45" i="2"/>
  <c r="BJ45" i="2"/>
  <c r="BG45" i="2"/>
  <c r="BD45" i="2"/>
  <c r="BA45" i="2"/>
  <c r="AX45" i="2"/>
  <c r="AU45" i="2"/>
  <c r="AR45" i="2"/>
  <c r="AO45" i="2"/>
  <c r="AL45" i="2"/>
  <c r="AI45" i="2"/>
  <c r="AF45" i="2"/>
  <c r="AC45" i="2"/>
  <c r="Z45" i="2"/>
  <c r="W45" i="2"/>
  <c r="T45" i="2"/>
  <c r="Q45" i="2"/>
  <c r="N45" i="2"/>
  <c r="K45" i="2"/>
  <c r="H45" i="2"/>
  <c r="E45" i="2"/>
  <c r="CE44" i="2"/>
  <c r="CB44" i="2"/>
  <c r="BY44" i="2"/>
  <c r="BV44" i="2"/>
  <c r="BS44" i="2"/>
  <c r="BP44" i="2"/>
  <c r="BM44" i="2"/>
  <c r="BJ44" i="2"/>
  <c r="BG44" i="2"/>
  <c r="BD44" i="2"/>
  <c r="BA44" i="2"/>
  <c r="AX44" i="2"/>
  <c r="AU44" i="2"/>
  <c r="AR44" i="2"/>
  <c r="AO44" i="2"/>
  <c r="AL44" i="2"/>
  <c r="AI44" i="2"/>
  <c r="AF44" i="2"/>
  <c r="AC44" i="2"/>
  <c r="Z44" i="2"/>
  <c r="W44" i="2"/>
  <c r="T44" i="2"/>
  <c r="Q44" i="2"/>
  <c r="N44" i="2"/>
  <c r="K44" i="2"/>
  <c r="H44" i="2"/>
  <c r="E44" i="2"/>
  <c r="CE43" i="2"/>
  <c r="CB43" i="2"/>
  <c r="BY43" i="2"/>
  <c r="BV43" i="2"/>
  <c r="BS43" i="2"/>
  <c r="BP43" i="2"/>
  <c r="BM43" i="2"/>
  <c r="BJ43" i="2"/>
  <c r="BG43" i="2"/>
  <c r="BD43" i="2"/>
  <c r="BA43" i="2"/>
  <c r="AX43" i="2"/>
  <c r="AU43" i="2"/>
  <c r="AR43" i="2"/>
  <c r="AO43" i="2"/>
  <c r="AL43" i="2"/>
  <c r="AI43" i="2"/>
  <c r="AF43" i="2"/>
  <c r="AC43" i="2"/>
  <c r="Z43" i="2"/>
  <c r="W43" i="2"/>
  <c r="T43" i="2"/>
  <c r="Q43" i="2"/>
  <c r="N43" i="2"/>
  <c r="K43" i="2"/>
  <c r="H43" i="2"/>
  <c r="E43" i="2"/>
  <c r="CE42" i="2"/>
  <c r="CB42" i="2"/>
  <c r="BY42" i="2"/>
  <c r="BV42" i="2"/>
  <c r="BS42" i="2"/>
  <c r="BP42" i="2"/>
  <c r="BM42" i="2"/>
  <c r="BJ42" i="2"/>
  <c r="BG42" i="2"/>
  <c r="BD42" i="2"/>
  <c r="BA42" i="2"/>
  <c r="AX42" i="2"/>
  <c r="AU42" i="2"/>
  <c r="AR42" i="2"/>
  <c r="AO42" i="2"/>
  <c r="AL42" i="2"/>
  <c r="AI42" i="2"/>
  <c r="AF42" i="2"/>
  <c r="AC42" i="2"/>
  <c r="Z42" i="2"/>
  <c r="W42" i="2"/>
  <c r="T42" i="2"/>
  <c r="Q42" i="2"/>
  <c r="N42" i="2"/>
  <c r="K42" i="2"/>
  <c r="H42" i="2"/>
  <c r="E42" i="2"/>
  <c r="CE41" i="2"/>
  <c r="CB41" i="2"/>
  <c r="BY41" i="2"/>
  <c r="BV41" i="2"/>
  <c r="BS41" i="2"/>
  <c r="BP41" i="2"/>
  <c r="BM41" i="2"/>
  <c r="BJ41" i="2"/>
  <c r="BG41" i="2"/>
  <c r="BD41" i="2"/>
  <c r="BA41" i="2"/>
  <c r="AX41" i="2"/>
  <c r="AU41" i="2"/>
  <c r="AR41" i="2"/>
  <c r="AO41" i="2"/>
  <c r="AL41" i="2"/>
  <c r="AI41" i="2"/>
  <c r="AF41" i="2"/>
  <c r="AC41" i="2"/>
  <c r="Z41" i="2"/>
  <c r="W41" i="2"/>
  <c r="T41" i="2"/>
  <c r="Q41" i="2"/>
  <c r="N41" i="2"/>
  <c r="K41" i="2"/>
  <c r="H41" i="2"/>
  <c r="E41" i="2"/>
  <c r="CE40" i="2"/>
  <c r="CB40" i="2"/>
  <c r="BY40" i="2"/>
  <c r="BV40" i="2"/>
  <c r="BS40" i="2"/>
  <c r="BP40" i="2"/>
  <c r="BM40" i="2"/>
  <c r="BJ40" i="2"/>
  <c r="BG40" i="2"/>
  <c r="BD40" i="2"/>
  <c r="BA40" i="2"/>
  <c r="AX40" i="2"/>
  <c r="AU40" i="2"/>
  <c r="AR40" i="2"/>
  <c r="AO40" i="2"/>
  <c r="AL40" i="2"/>
  <c r="AI40" i="2"/>
  <c r="AF40" i="2"/>
  <c r="AC40" i="2"/>
  <c r="Z40" i="2"/>
  <c r="W40" i="2"/>
  <c r="T40" i="2"/>
  <c r="Q40" i="2"/>
  <c r="N40" i="2"/>
  <c r="K40" i="2"/>
  <c r="H40" i="2"/>
  <c r="E40" i="2"/>
  <c r="CE39" i="2"/>
  <c r="CB39" i="2"/>
  <c r="BY39" i="2"/>
  <c r="BV39" i="2"/>
  <c r="BS39" i="2"/>
  <c r="BP39" i="2"/>
  <c r="BM39" i="2"/>
  <c r="BJ39" i="2"/>
  <c r="BG39" i="2"/>
  <c r="BD39" i="2"/>
  <c r="BA39" i="2"/>
  <c r="AX39" i="2"/>
  <c r="AU39" i="2"/>
  <c r="AR39" i="2"/>
  <c r="AO39" i="2"/>
  <c r="AL39" i="2"/>
  <c r="AI39" i="2"/>
  <c r="AF39" i="2"/>
  <c r="AC39" i="2"/>
  <c r="Z39" i="2"/>
  <c r="W39" i="2"/>
  <c r="T39" i="2"/>
  <c r="Q39" i="2"/>
  <c r="N39" i="2"/>
  <c r="K39" i="2"/>
  <c r="H39" i="2"/>
  <c r="E39" i="2"/>
  <c r="CE38" i="2"/>
  <c r="CB38" i="2"/>
  <c r="BY38" i="2"/>
  <c r="BV38" i="2"/>
  <c r="BS38" i="2"/>
  <c r="BP38" i="2"/>
  <c r="BM38" i="2"/>
  <c r="BJ38" i="2"/>
  <c r="BG38" i="2"/>
  <c r="BD38" i="2"/>
  <c r="BA38" i="2"/>
  <c r="AX38" i="2"/>
  <c r="AR38" i="2"/>
  <c r="AO38" i="2"/>
  <c r="AI38" i="2"/>
  <c r="AF38" i="2"/>
  <c r="AC38" i="2"/>
  <c r="Z38" i="2"/>
  <c r="W38" i="2"/>
  <c r="T38" i="2"/>
  <c r="Q38" i="2"/>
  <c r="N38" i="2"/>
  <c r="K38" i="2"/>
  <c r="H38" i="2"/>
  <c r="E38" i="2"/>
  <c r="CE37" i="2"/>
  <c r="CB37" i="2"/>
  <c r="BY37" i="2"/>
  <c r="BV37" i="2"/>
  <c r="BS37" i="2"/>
  <c r="BP37" i="2"/>
  <c r="BM37" i="2"/>
  <c r="BJ37" i="2"/>
  <c r="BG37" i="2"/>
  <c r="BD37" i="2"/>
  <c r="BA37" i="2"/>
  <c r="AX37" i="2"/>
  <c r="AU37" i="2"/>
  <c r="AR37" i="2"/>
  <c r="AO37" i="2"/>
  <c r="AL37" i="2"/>
  <c r="AI37" i="2"/>
  <c r="AF37" i="2"/>
  <c r="AC37" i="2"/>
  <c r="Z37" i="2"/>
  <c r="W37" i="2"/>
  <c r="T37" i="2"/>
  <c r="Q37" i="2"/>
  <c r="N37" i="2"/>
  <c r="K37" i="2"/>
  <c r="H37" i="2"/>
  <c r="E37" i="2"/>
  <c r="CE36" i="2"/>
  <c r="CB36" i="2"/>
  <c r="BY36" i="2"/>
  <c r="BV36" i="2"/>
  <c r="BS36" i="2"/>
  <c r="BP36" i="2"/>
  <c r="BM36" i="2"/>
  <c r="BJ36" i="2"/>
  <c r="BG36" i="2"/>
  <c r="BD36" i="2"/>
  <c r="BA36" i="2"/>
  <c r="AX36" i="2"/>
  <c r="AU36" i="2"/>
  <c r="AR36" i="2"/>
  <c r="AO36" i="2"/>
  <c r="AL36" i="2"/>
  <c r="AI36" i="2"/>
  <c r="AF36" i="2"/>
  <c r="AC36" i="2"/>
  <c r="Z36" i="2"/>
  <c r="W36" i="2"/>
  <c r="T36" i="2"/>
  <c r="Q36" i="2"/>
  <c r="N36" i="2"/>
  <c r="K36" i="2"/>
  <c r="H36" i="2"/>
  <c r="E36" i="2"/>
  <c r="CE35" i="2"/>
  <c r="CB35" i="2"/>
  <c r="BY35" i="2"/>
  <c r="BV35" i="2"/>
  <c r="BS35" i="2"/>
  <c r="BP35" i="2"/>
  <c r="BM35" i="2"/>
  <c r="BJ35" i="2"/>
  <c r="BG35" i="2"/>
  <c r="BD35" i="2"/>
  <c r="BA35" i="2"/>
  <c r="AX35" i="2"/>
  <c r="AU35" i="2"/>
  <c r="AR35" i="2"/>
  <c r="AO35" i="2"/>
  <c r="AL35" i="2"/>
  <c r="AI35" i="2"/>
  <c r="AF35" i="2"/>
  <c r="AC35" i="2"/>
  <c r="Z35" i="2"/>
  <c r="W35" i="2"/>
  <c r="T35" i="2"/>
  <c r="Q35" i="2"/>
  <c r="N35" i="2"/>
  <c r="K35" i="2"/>
  <c r="H35" i="2"/>
  <c r="E35" i="2"/>
  <c r="CE34" i="2"/>
  <c r="CB34" i="2"/>
  <c r="BY34" i="2"/>
  <c r="BV34" i="2"/>
  <c r="BS34" i="2"/>
  <c r="BP34" i="2"/>
  <c r="BM34" i="2"/>
  <c r="BJ34" i="2"/>
  <c r="BG34" i="2"/>
  <c r="BD34" i="2"/>
  <c r="BA34" i="2"/>
  <c r="AX34" i="2"/>
  <c r="AU34" i="2"/>
  <c r="AR34" i="2"/>
  <c r="AO34" i="2"/>
  <c r="AL34" i="2"/>
  <c r="AI34" i="2"/>
  <c r="AF34" i="2"/>
  <c r="AC34" i="2"/>
  <c r="Z34" i="2"/>
  <c r="W34" i="2"/>
  <c r="T34" i="2"/>
  <c r="Q34" i="2"/>
  <c r="N34" i="2"/>
  <c r="K34" i="2"/>
  <c r="H34" i="2"/>
  <c r="E34" i="2"/>
  <c r="CE33" i="2"/>
  <c r="CB33" i="2"/>
  <c r="BY33" i="2"/>
  <c r="BV33" i="2"/>
  <c r="BS33" i="2"/>
  <c r="BP33" i="2"/>
  <c r="BM33" i="2"/>
  <c r="BJ33" i="2"/>
  <c r="BG33" i="2"/>
  <c r="BD33" i="2"/>
  <c r="BA33" i="2"/>
  <c r="AX33" i="2"/>
  <c r="AU33" i="2"/>
  <c r="AR33" i="2"/>
  <c r="AO33" i="2"/>
  <c r="AL33" i="2"/>
  <c r="AI33" i="2"/>
  <c r="AF33" i="2"/>
  <c r="AC33" i="2"/>
  <c r="Z33" i="2"/>
  <c r="W33" i="2"/>
  <c r="T33" i="2"/>
  <c r="Q33" i="2"/>
  <c r="N33" i="2"/>
  <c r="K33" i="2"/>
  <c r="H33" i="2"/>
  <c r="E33" i="2"/>
  <c r="CE32" i="2"/>
  <c r="CB32" i="2"/>
  <c r="BY32" i="2"/>
  <c r="BV32" i="2"/>
  <c r="BS32" i="2"/>
  <c r="BP32" i="2"/>
  <c r="BM32" i="2"/>
  <c r="BJ32" i="2"/>
  <c r="BG32" i="2"/>
  <c r="BD32" i="2"/>
  <c r="BA32" i="2"/>
  <c r="AX32" i="2"/>
  <c r="AU32" i="2"/>
  <c r="AR32" i="2"/>
  <c r="AO32" i="2"/>
  <c r="AL32" i="2"/>
  <c r="AI32" i="2"/>
  <c r="AF32" i="2"/>
  <c r="AC32" i="2"/>
  <c r="Z32" i="2"/>
  <c r="W32" i="2"/>
  <c r="T32" i="2"/>
  <c r="Q32" i="2"/>
  <c r="N32" i="2"/>
  <c r="K32" i="2"/>
  <c r="H32" i="2"/>
  <c r="E32" i="2"/>
  <c r="CE31" i="2"/>
  <c r="CB31" i="2"/>
  <c r="BY31" i="2"/>
  <c r="BV31" i="2"/>
  <c r="BS31" i="2"/>
  <c r="BP31" i="2"/>
  <c r="BM31" i="2"/>
  <c r="BJ31" i="2"/>
  <c r="BG31" i="2"/>
  <c r="BD31" i="2"/>
  <c r="BA31" i="2"/>
  <c r="AX31" i="2"/>
  <c r="AU31" i="2"/>
  <c r="AR31" i="2"/>
  <c r="AO31" i="2"/>
  <c r="AL31" i="2"/>
  <c r="AI31" i="2"/>
  <c r="AF31" i="2"/>
  <c r="AC31" i="2"/>
  <c r="Z31" i="2"/>
  <c r="W31" i="2"/>
  <c r="T31" i="2"/>
  <c r="Q31" i="2"/>
  <c r="N31" i="2"/>
  <c r="K31" i="2"/>
  <c r="H31" i="2"/>
  <c r="E31" i="2"/>
  <c r="CE30" i="2"/>
  <c r="CB30" i="2"/>
  <c r="BY30" i="2"/>
  <c r="BV30" i="2"/>
  <c r="BS30" i="2"/>
  <c r="BP30" i="2"/>
  <c r="BM30" i="2"/>
  <c r="BJ30" i="2"/>
  <c r="BG30" i="2"/>
  <c r="BD30" i="2"/>
  <c r="BA30" i="2"/>
  <c r="AX30" i="2"/>
  <c r="AU30" i="2"/>
  <c r="AR30" i="2"/>
  <c r="AO30" i="2"/>
  <c r="AL30" i="2"/>
  <c r="AI30" i="2"/>
  <c r="AF30" i="2"/>
  <c r="AC30" i="2"/>
  <c r="Z30" i="2"/>
  <c r="W30" i="2"/>
  <c r="T30" i="2"/>
  <c r="Q30" i="2"/>
  <c r="N30" i="2"/>
  <c r="K30" i="2"/>
  <c r="H30" i="2"/>
  <c r="E30" i="2"/>
  <c r="CE29" i="2"/>
  <c r="CB29" i="2"/>
  <c r="BY29" i="2"/>
  <c r="BV29" i="2"/>
  <c r="BS29" i="2"/>
  <c r="BP29" i="2"/>
  <c r="BM29" i="2"/>
  <c r="BJ29" i="2"/>
  <c r="BG29" i="2"/>
  <c r="BD29" i="2"/>
  <c r="BA29" i="2"/>
  <c r="AX29" i="2"/>
  <c r="AU29" i="2"/>
  <c r="AR29" i="2"/>
  <c r="AO29" i="2"/>
  <c r="AL29" i="2"/>
  <c r="AI29" i="2"/>
  <c r="AF29" i="2"/>
  <c r="AC29" i="2"/>
  <c r="Z29" i="2"/>
  <c r="W29" i="2"/>
  <c r="T29" i="2"/>
  <c r="Q29" i="2"/>
  <c r="N29" i="2"/>
  <c r="K29" i="2"/>
  <c r="H29" i="2"/>
  <c r="E29" i="2"/>
  <c r="CE28" i="2"/>
  <c r="CB28" i="2"/>
  <c r="BY28" i="2"/>
  <c r="BV28" i="2"/>
  <c r="BS28" i="2"/>
  <c r="BP28" i="2"/>
  <c r="BM28" i="2"/>
  <c r="BJ28" i="2"/>
  <c r="BG28" i="2"/>
  <c r="BD28" i="2"/>
  <c r="BA28" i="2"/>
  <c r="AX28" i="2"/>
  <c r="AU28" i="2"/>
  <c r="AR28" i="2"/>
  <c r="AO28" i="2"/>
  <c r="AL28" i="2"/>
  <c r="AI28" i="2"/>
  <c r="AF28" i="2"/>
  <c r="AC28" i="2"/>
  <c r="Z28" i="2"/>
  <c r="W28" i="2"/>
  <c r="T28" i="2"/>
  <c r="Q28" i="2"/>
  <c r="N28" i="2"/>
  <c r="K28" i="2"/>
  <c r="H28" i="2"/>
  <c r="E28" i="2"/>
  <c r="CE27" i="2"/>
  <c r="CB27" i="2"/>
  <c r="BY27" i="2"/>
  <c r="BV27" i="2"/>
  <c r="BS27" i="2"/>
  <c r="BP27" i="2"/>
  <c r="BM27" i="2"/>
  <c r="BJ27" i="2"/>
  <c r="BG27" i="2"/>
  <c r="BD27" i="2"/>
  <c r="BA27" i="2"/>
  <c r="AX27" i="2"/>
  <c r="AU27" i="2"/>
  <c r="AR27" i="2"/>
  <c r="AO27" i="2"/>
  <c r="AL27" i="2"/>
  <c r="AI27" i="2"/>
  <c r="AF27" i="2"/>
  <c r="AC27" i="2"/>
  <c r="Z27" i="2"/>
  <c r="W27" i="2"/>
  <c r="T27" i="2"/>
  <c r="Q27" i="2"/>
  <c r="N27" i="2"/>
  <c r="K27" i="2"/>
  <c r="H27" i="2"/>
  <c r="E27" i="2"/>
  <c r="CE26" i="2"/>
  <c r="CB26" i="2"/>
  <c r="BY26" i="2"/>
  <c r="BV26" i="2"/>
  <c r="BS26" i="2"/>
  <c r="BP26" i="2"/>
  <c r="BM26" i="2"/>
  <c r="BJ26" i="2"/>
  <c r="BG26" i="2"/>
  <c r="BD26" i="2"/>
  <c r="BA26" i="2"/>
  <c r="AX26" i="2"/>
  <c r="AU26" i="2"/>
  <c r="AR26" i="2"/>
  <c r="AO26" i="2"/>
  <c r="AL26" i="2"/>
  <c r="AI26" i="2"/>
  <c r="AF26" i="2"/>
  <c r="AC26" i="2"/>
  <c r="Z26" i="2"/>
  <c r="W26" i="2"/>
  <c r="T26" i="2"/>
  <c r="Q26" i="2"/>
  <c r="N26" i="2"/>
  <c r="K26" i="2"/>
  <c r="H26" i="2"/>
  <c r="E26" i="2"/>
  <c r="CE25" i="2"/>
  <c r="CB25" i="2"/>
  <c r="BY25" i="2"/>
  <c r="BV25" i="2"/>
  <c r="BS25" i="2"/>
  <c r="BP25" i="2"/>
  <c r="BM25" i="2"/>
  <c r="BJ25" i="2"/>
  <c r="BG25" i="2"/>
  <c r="BD25" i="2"/>
  <c r="BA25" i="2"/>
  <c r="AX25" i="2"/>
  <c r="AU25" i="2"/>
  <c r="AR25" i="2"/>
  <c r="AO25" i="2"/>
  <c r="AL25" i="2"/>
  <c r="AI25" i="2"/>
  <c r="AF25" i="2"/>
  <c r="AC25" i="2"/>
  <c r="Z25" i="2"/>
  <c r="W25" i="2"/>
  <c r="T25" i="2"/>
  <c r="Q25" i="2"/>
  <c r="N25" i="2"/>
  <c r="K25" i="2"/>
  <c r="H25" i="2"/>
  <c r="E25" i="2"/>
  <c r="CE24" i="2"/>
  <c r="CB24" i="2"/>
  <c r="BY24" i="2"/>
  <c r="BV24" i="2"/>
  <c r="BS24" i="2"/>
  <c r="BP24" i="2"/>
  <c r="BM24" i="2"/>
  <c r="BJ24" i="2"/>
  <c r="BG24" i="2"/>
  <c r="BD24" i="2"/>
  <c r="BA24" i="2"/>
  <c r="AX24" i="2"/>
  <c r="AU24" i="2"/>
  <c r="AR24" i="2"/>
  <c r="AO24" i="2"/>
  <c r="AL24" i="2"/>
  <c r="AI24" i="2"/>
  <c r="AF24" i="2"/>
  <c r="AC24" i="2"/>
  <c r="Z24" i="2"/>
  <c r="W24" i="2"/>
  <c r="T24" i="2"/>
  <c r="Q24" i="2"/>
  <c r="N24" i="2"/>
  <c r="K24" i="2"/>
  <c r="H24" i="2"/>
  <c r="E24" i="2"/>
  <c r="CE23" i="2"/>
  <c r="CB23" i="2"/>
  <c r="BY23" i="2"/>
  <c r="BV23" i="2"/>
  <c r="BS23" i="2"/>
  <c r="BP23" i="2"/>
  <c r="BM23" i="2"/>
  <c r="BJ23" i="2"/>
  <c r="BG23" i="2"/>
  <c r="BD23" i="2"/>
  <c r="BA23" i="2"/>
  <c r="AX23" i="2"/>
  <c r="AU23" i="2"/>
  <c r="AR23" i="2"/>
  <c r="AO23" i="2"/>
  <c r="AL23" i="2"/>
  <c r="AI23" i="2"/>
  <c r="AF23" i="2"/>
  <c r="AC23" i="2"/>
  <c r="Z23" i="2"/>
  <c r="W23" i="2"/>
  <c r="T23" i="2"/>
  <c r="Q23" i="2"/>
  <c r="N23" i="2"/>
  <c r="K23" i="2"/>
  <c r="H23" i="2"/>
  <c r="E23" i="2"/>
  <c r="CE22" i="2"/>
  <c r="CB22" i="2"/>
  <c r="BY22" i="2"/>
  <c r="BV22" i="2"/>
  <c r="BS22" i="2"/>
  <c r="BP22" i="2"/>
  <c r="BM22" i="2"/>
  <c r="BJ22" i="2"/>
  <c r="BG22" i="2"/>
  <c r="BD22" i="2"/>
  <c r="BA22" i="2"/>
  <c r="AX22" i="2"/>
  <c r="AU22" i="2"/>
  <c r="AR22" i="2"/>
  <c r="AO22" i="2"/>
  <c r="AL22" i="2"/>
  <c r="AI22" i="2"/>
  <c r="AF22" i="2"/>
  <c r="AC22" i="2"/>
  <c r="Z22" i="2"/>
  <c r="W22" i="2"/>
  <c r="T22" i="2"/>
  <c r="Q22" i="2"/>
  <c r="N22" i="2"/>
  <c r="K22" i="2"/>
  <c r="H22" i="2"/>
  <c r="E22" i="2"/>
  <c r="CE21" i="2"/>
  <c r="CB21" i="2"/>
  <c r="BY21" i="2"/>
  <c r="BV21" i="2"/>
  <c r="BS21" i="2"/>
  <c r="BP21" i="2"/>
  <c r="BM21" i="2"/>
  <c r="BJ21" i="2"/>
  <c r="BG21" i="2"/>
  <c r="BD21" i="2"/>
  <c r="BA21" i="2"/>
  <c r="AX21" i="2"/>
  <c r="AU21" i="2"/>
  <c r="AR21" i="2"/>
  <c r="AO21" i="2"/>
  <c r="AL21" i="2"/>
  <c r="AI21" i="2"/>
  <c r="AF21" i="2"/>
  <c r="AC21" i="2"/>
  <c r="Z21" i="2"/>
  <c r="W21" i="2"/>
  <c r="T21" i="2"/>
  <c r="Q21" i="2"/>
  <c r="N21" i="2"/>
  <c r="K21" i="2"/>
  <c r="H21" i="2"/>
  <c r="E21" i="2"/>
  <c r="CE20" i="2"/>
  <c r="CB20" i="2"/>
  <c r="BY20" i="2"/>
  <c r="BV20" i="2"/>
  <c r="BS20" i="2"/>
  <c r="BP20" i="2"/>
  <c r="BM20" i="2"/>
  <c r="BJ20" i="2"/>
  <c r="BG20" i="2"/>
  <c r="BD20" i="2"/>
  <c r="BA20" i="2"/>
  <c r="AX20" i="2"/>
  <c r="AU20" i="2"/>
  <c r="AR20" i="2"/>
  <c r="AO20" i="2"/>
  <c r="AL20" i="2"/>
  <c r="AI20" i="2"/>
  <c r="AF20" i="2"/>
  <c r="AC20" i="2"/>
  <c r="Z20" i="2"/>
  <c r="W20" i="2"/>
  <c r="T20" i="2"/>
  <c r="Q20" i="2"/>
  <c r="N20" i="2"/>
  <c r="K20" i="2"/>
  <c r="H20" i="2"/>
  <c r="E20" i="2"/>
  <c r="CE19" i="2"/>
  <c r="CB19" i="2"/>
  <c r="BY19" i="2"/>
  <c r="BV19" i="2"/>
  <c r="BS19" i="2"/>
  <c r="BP19" i="2"/>
  <c r="BM19" i="2"/>
  <c r="BJ19" i="2"/>
  <c r="BG19" i="2"/>
  <c r="BD19" i="2"/>
  <c r="BA19" i="2"/>
  <c r="AX19" i="2"/>
  <c r="AU19" i="2"/>
  <c r="AR19" i="2"/>
  <c r="AO19" i="2"/>
  <c r="AL19" i="2"/>
  <c r="AI19" i="2"/>
  <c r="AF19" i="2"/>
  <c r="AC19" i="2"/>
  <c r="Z19" i="2"/>
  <c r="W19" i="2"/>
  <c r="T19" i="2"/>
  <c r="Q19" i="2"/>
  <c r="N19" i="2"/>
  <c r="K19" i="2"/>
  <c r="H19" i="2"/>
  <c r="E19" i="2"/>
  <c r="CE18" i="2"/>
  <c r="CB18" i="2"/>
  <c r="BY18" i="2"/>
  <c r="BV18" i="2"/>
  <c r="BS18" i="2"/>
  <c r="BP18" i="2"/>
  <c r="BM18" i="2"/>
  <c r="BJ18" i="2"/>
  <c r="BG18" i="2"/>
  <c r="BD18" i="2"/>
  <c r="BA18" i="2"/>
  <c r="AX18" i="2"/>
  <c r="AU18" i="2"/>
  <c r="AR18" i="2"/>
  <c r="AO18" i="2"/>
  <c r="AL18" i="2"/>
  <c r="AI18" i="2"/>
  <c r="AF18" i="2"/>
  <c r="AC18" i="2"/>
  <c r="Z18" i="2"/>
  <c r="W18" i="2"/>
  <c r="T18" i="2"/>
  <c r="Q18" i="2"/>
  <c r="N18" i="2"/>
  <c r="K18" i="2"/>
  <c r="H18" i="2"/>
  <c r="E18" i="2"/>
  <c r="CE17" i="2"/>
  <c r="CB17" i="2"/>
  <c r="BY17" i="2"/>
  <c r="BV17" i="2"/>
  <c r="BS17" i="2"/>
  <c r="BP17" i="2"/>
  <c r="BM17" i="2"/>
  <c r="BJ17" i="2"/>
  <c r="BG17" i="2"/>
  <c r="BD17" i="2"/>
  <c r="BA17" i="2"/>
  <c r="AX17" i="2"/>
  <c r="AU17" i="2"/>
  <c r="AR17" i="2"/>
  <c r="AO17" i="2"/>
  <c r="AL17" i="2"/>
  <c r="AI17" i="2"/>
  <c r="AF17" i="2"/>
  <c r="AC17" i="2"/>
  <c r="Z17" i="2"/>
  <c r="W17" i="2"/>
  <c r="T17" i="2"/>
  <c r="Q17" i="2"/>
  <c r="N17" i="2"/>
  <c r="K17" i="2"/>
  <c r="H17" i="2"/>
  <c r="E17" i="2"/>
  <c r="CE16" i="2"/>
  <c r="CB16" i="2"/>
  <c r="BY16" i="2"/>
  <c r="BV16" i="2"/>
  <c r="BS16" i="2"/>
  <c r="BP16" i="2"/>
  <c r="BM16" i="2"/>
  <c r="BJ16" i="2"/>
  <c r="BG16" i="2"/>
  <c r="BD16" i="2"/>
  <c r="BA16" i="2"/>
  <c r="AX16" i="2"/>
  <c r="AU16" i="2"/>
  <c r="AR16" i="2"/>
  <c r="AO16" i="2"/>
  <c r="AL16" i="2"/>
  <c r="AI16" i="2"/>
  <c r="AF16" i="2"/>
  <c r="AC16" i="2"/>
  <c r="Z16" i="2"/>
  <c r="W16" i="2"/>
  <c r="T16" i="2"/>
  <c r="Q16" i="2"/>
  <c r="N16" i="2"/>
  <c r="K16" i="2"/>
  <c r="H16" i="2"/>
  <c r="E16" i="2"/>
  <c r="CE15" i="2"/>
  <c r="CB15" i="2"/>
  <c r="BY15" i="2"/>
  <c r="BV15" i="2"/>
  <c r="BS15" i="2"/>
  <c r="BP15" i="2"/>
  <c r="BM15" i="2"/>
  <c r="BJ15" i="2"/>
  <c r="BG15" i="2"/>
  <c r="BD15" i="2"/>
  <c r="BA15" i="2"/>
  <c r="AX15" i="2"/>
  <c r="AU15" i="2"/>
  <c r="AR15" i="2"/>
  <c r="AO15" i="2"/>
  <c r="AL15" i="2"/>
  <c r="AI15" i="2"/>
  <c r="AF15" i="2"/>
  <c r="AC15" i="2"/>
  <c r="Z15" i="2"/>
  <c r="W15" i="2"/>
  <c r="T15" i="2"/>
  <c r="Q15" i="2"/>
  <c r="N15" i="2"/>
  <c r="K15" i="2"/>
  <c r="H15" i="2"/>
  <c r="E15" i="2"/>
  <c r="CE14" i="2"/>
  <c r="CB14" i="2"/>
  <c r="BY14" i="2"/>
  <c r="BV14" i="2"/>
  <c r="BS14" i="2"/>
  <c r="BP14" i="2"/>
  <c r="BM14" i="2"/>
  <c r="BJ14" i="2"/>
  <c r="BG14" i="2"/>
  <c r="BD14" i="2"/>
  <c r="BA14" i="2"/>
  <c r="AX14" i="2"/>
  <c r="AU14" i="2"/>
  <c r="AR14" i="2"/>
  <c r="AO14" i="2"/>
  <c r="AL14" i="2"/>
  <c r="AI14" i="2"/>
  <c r="AF14" i="2"/>
  <c r="AC14" i="2"/>
  <c r="Z14" i="2"/>
  <c r="W14" i="2"/>
  <c r="T14" i="2"/>
  <c r="Q14" i="2"/>
  <c r="N14" i="2"/>
  <c r="K14" i="2"/>
  <c r="H14" i="2"/>
  <c r="E14" i="2"/>
  <c r="CE13" i="2"/>
  <c r="CB13" i="2"/>
  <c r="BY13" i="2"/>
  <c r="BV13" i="2"/>
  <c r="BS13" i="2"/>
  <c r="BP13" i="2"/>
  <c r="BM13" i="2"/>
  <c r="BJ13" i="2"/>
  <c r="BG13" i="2"/>
  <c r="BD13" i="2"/>
  <c r="BA13" i="2"/>
  <c r="AX13" i="2"/>
  <c r="AU13" i="2"/>
  <c r="AR13" i="2"/>
  <c r="AO13" i="2"/>
  <c r="AL13" i="2"/>
  <c r="AI13" i="2"/>
  <c r="AF13" i="2"/>
  <c r="AC13" i="2"/>
  <c r="Z13" i="2"/>
  <c r="W13" i="2"/>
  <c r="T13" i="2"/>
  <c r="Q13" i="2"/>
  <c r="N13" i="2"/>
  <c r="K13" i="2"/>
  <c r="H13" i="2"/>
  <c r="E13" i="2"/>
  <c r="CE12" i="2"/>
  <c r="CB12" i="2"/>
  <c r="BY12" i="2"/>
  <c r="BV12" i="2"/>
  <c r="BS12" i="2"/>
  <c r="BP12" i="2"/>
  <c r="BM12" i="2"/>
  <c r="BJ12" i="2"/>
  <c r="BG12" i="2"/>
  <c r="BD12" i="2"/>
  <c r="BA12" i="2"/>
  <c r="AX12" i="2"/>
  <c r="AU12" i="2"/>
  <c r="AR12" i="2"/>
  <c r="AO12" i="2"/>
  <c r="AL12" i="2"/>
  <c r="AI12" i="2"/>
  <c r="AF12" i="2"/>
  <c r="AC12" i="2"/>
  <c r="Z12" i="2"/>
  <c r="W12" i="2"/>
  <c r="T12" i="2"/>
  <c r="Q12" i="2"/>
  <c r="N12" i="2"/>
  <c r="K12" i="2"/>
  <c r="H12" i="2"/>
  <c r="E12" i="2"/>
  <c r="CE11" i="2"/>
  <c r="CB11" i="2"/>
  <c r="BY11" i="2"/>
  <c r="BV11" i="2"/>
  <c r="BS11" i="2"/>
  <c r="BP11" i="2"/>
  <c r="BM11" i="2"/>
  <c r="BJ11" i="2"/>
  <c r="BG11" i="2"/>
  <c r="BD11" i="2"/>
  <c r="BA11" i="2"/>
  <c r="AX11" i="2"/>
  <c r="AU11" i="2"/>
  <c r="AR11" i="2"/>
  <c r="AO11" i="2"/>
  <c r="AL11" i="2"/>
  <c r="AI11" i="2"/>
  <c r="AF11" i="2"/>
  <c r="AC11" i="2"/>
  <c r="Z11" i="2"/>
  <c r="W11" i="2"/>
  <c r="T11" i="2"/>
  <c r="Q11" i="2"/>
  <c r="N11" i="2"/>
  <c r="K11" i="2"/>
  <c r="H11" i="2"/>
  <c r="E11" i="2"/>
  <c r="CE10" i="2"/>
  <c r="CB10" i="2"/>
  <c r="BY10" i="2"/>
  <c r="BV10" i="2"/>
  <c r="BS10" i="2"/>
  <c r="BP10" i="2"/>
  <c r="BM10" i="2"/>
  <c r="BJ10" i="2"/>
  <c r="BG10" i="2"/>
  <c r="BD10" i="2"/>
  <c r="BA10" i="2"/>
  <c r="AX10" i="2"/>
  <c r="AU10" i="2"/>
  <c r="AR10" i="2"/>
  <c r="AO10" i="2"/>
  <c r="AL10" i="2"/>
  <c r="AI10" i="2"/>
  <c r="AF10" i="2"/>
  <c r="AC10" i="2"/>
  <c r="Z10" i="2"/>
  <c r="W10" i="2"/>
  <c r="T10" i="2"/>
  <c r="Q10" i="2"/>
  <c r="N10" i="2"/>
  <c r="K10" i="2"/>
  <c r="H10" i="2"/>
  <c r="E10" i="2"/>
  <c r="D101" i="2" l="1"/>
  <c r="D100" i="2"/>
  <c r="D99" i="2"/>
  <c r="D98" i="2"/>
  <c r="D97" i="2"/>
  <c r="D96" i="2"/>
  <c r="H65" i="2" l="1"/>
  <c r="E65" i="2"/>
</calcChain>
</file>

<file path=xl/sharedStrings.xml><?xml version="1.0" encoding="utf-8"?>
<sst xmlns="http://schemas.openxmlformats.org/spreadsheetml/2006/main" count="298" uniqueCount="91">
  <si>
    <t>DWANGWA CANE GROWERS LIMITED</t>
  </si>
  <si>
    <t>2020/21</t>
  </si>
  <si>
    <t>2021/22</t>
  </si>
  <si>
    <t>2022/23</t>
  </si>
  <si>
    <t>2023/24</t>
  </si>
  <si>
    <t>SEASON</t>
  </si>
  <si>
    <t>2024/25</t>
  </si>
  <si>
    <t>Seedcane</t>
  </si>
  <si>
    <t>2025/26</t>
  </si>
  <si>
    <t>DG 27</t>
  </si>
  <si>
    <t>FIELDS</t>
  </si>
  <si>
    <t>DG 11</t>
  </si>
  <si>
    <t>DG 04</t>
  </si>
  <si>
    <t>DG 14</t>
  </si>
  <si>
    <t>DG 23</t>
  </si>
  <si>
    <t>DG 26</t>
  </si>
  <si>
    <t>DG 39</t>
  </si>
  <si>
    <t>DG 16</t>
  </si>
  <si>
    <t>DG 31</t>
  </si>
  <si>
    <t>DG 25</t>
  </si>
  <si>
    <t>DG 01</t>
  </si>
  <si>
    <t>DG 32</t>
  </si>
  <si>
    <t>Commencement</t>
  </si>
  <si>
    <t>Water Supply</t>
  </si>
  <si>
    <t xml:space="preserve">WEIR CLOSURE: </t>
  </si>
  <si>
    <t>WEIR OPENING</t>
  </si>
  <si>
    <t>ROUNDS</t>
  </si>
  <si>
    <t>NO. OF 
DAYS</t>
  </si>
  <si>
    <t>NO. OF DAYS</t>
  </si>
  <si>
    <t>CUT/PLANT DATE</t>
  </si>
  <si>
    <t>START</t>
  </si>
  <si>
    <t>FINISH</t>
  </si>
  <si>
    <t>Leakge</t>
  </si>
  <si>
    <t>DG 37</t>
  </si>
  <si>
    <t>DATE CLOSED</t>
  </si>
  <si>
    <t>DATE OPEN</t>
  </si>
  <si>
    <t>PERIOD (MONTS)</t>
  </si>
  <si>
    <t>DG 34</t>
  </si>
  <si>
    <t>DG 22</t>
  </si>
  <si>
    <t>Completion</t>
  </si>
  <si>
    <t>DG 08</t>
  </si>
  <si>
    <t>DG 29</t>
  </si>
  <si>
    <t>DG 06</t>
  </si>
  <si>
    <t>DG 13</t>
  </si>
  <si>
    <t>DG 02</t>
  </si>
  <si>
    <t>DG 33</t>
  </si>
  <si>
    <t>DG 20</t>
  </si>
  <si>
    <t>DG 18</t>
  </si>
  <si>
    <t>DG 07</t>
  </si>
  <si>
    <t>DG 15</t>
  </si>
  <si>
    <t>DG 09</t>
  </si>
  <si>
    <t>DG 24</t>
  </si>
  <si>
    <t>DG 35</t>
  </si>
  <si>
    <t>DG 10</t>
  </si>
  <si>
    <t>DG 28</t>
  </si>
  <si>
    <t>DG 38</t>
  </si>
  <si>
    <t>DG 12</t>
  </si>
  <si>
    <t>DG 30</t>
  </si>
  <si>
    <t>DG 36</t>
  </si>
  <si>
    <t>DG 05</t>
  </si>
  <si>
    <t>DG 03</t>
  </si>
  <si>
    <t>DG 17</t>
  </si>
  <si>
    <t>DG 19</t>
  </si>
  <si>
    <t>DG 21</t>
  </si>
  <si>
    <t>Irrigation Cycles 2024/25</t>
  </si>
  <si>
    <t>IRRIGATION CYCLES 2025/26</t>
  </si>
  <si>
    <t>RAINFALL END</t>
  </si>
  <si>
    <t>WEIR CLOSE</t>
  </si>
  <si>
    <t>Irrigation Remarks</t>
  </si>
  <si>
    <t>Experienced low water supply from 28th July to 6th August 2025. Due to DSC's canal maintenace at the Lakeshore.</t>
  </si>
  <si>
    <t>The Feeder Temperate</t>
  </si>
  <si>
    <t>Single Feeder</t>
  </si>
  <si>
    <t>Height:</t>
  </si>
  <si>
    <t>Top Width:</t>
  </si>
  <si>
    <t>Bottom Width:</t>
  </si>
  <si>
    <t>600 mm</t>
  </si>
  <si>
    <t>1,150 mm</t>
  </si>
  <si>
    <t>Slope</t>
  </si>
  <si>
    <t>1: 1,500</t>
  </si>
  <si>
    <t>m</t>
  </si>
  <si>
    <t>Double Feeder</t>
  </si>
  <si>
    <t>1,500 mm</t>
  </si>
  <si>
    <t>720 mm</t>
  </si>
  <si>
    <t>Discharge</t>
  </si>
  <si>
    <t>85 l/s</t>
  </si>
  <si>
    <t>170 l/s</t>
  </si>
  <si>
    <t>WEIR</t>
  </si>
  <si>
    <t>RAIN START</t>
  </si>
  <si>
    <t>PERIOD (Days)</t>
  </si>
  <si>
    <t>Avg Cycles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</si>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</sst>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9" formatCode="[$-409]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Tw Cen MT"/>
      <family val="2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rgb="FF0070C0"/>
      <name val="Times New Roman"/>
      <family val="1"/>
    </font>
    <font>
      <b/>
      <sz val="10"/>
      <color theme="1"/>
      <name val="Tw Cen MT"/>
      <family val="2"/>
    </font>
    <font>
      <b/>
      <sz val="10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B050"/>
      <name val="Times New Roman"/>
      <family val="1"/>
    </font>
    <font>
      <sz val="10"/>
      <color theme="7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5" fontId="5" fillId="0" borderId="0" xfId="0" applyNumberFormat="1" applyFont="1"/>
    <xf numFmtId="0" fontId="5" fillId="0" borderId="0" xfId="0" applyFont="1"/>
    <xf numFmtId="0" fontId="7" fillId="0" borderId="0" xfId="0" applyFont="1"/>
    <xf numFmtId="0" fontId="8" fillId="0" borderId="0" xfId="0" applyFont="1"/>
    <xf numFmtId="169" fontId="5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4" xfId="0" applyFont="1" applyBorder="1"/>
    <xf numFmtId="0" fontId="5" fillId="0" borderId="1" xfId="0" applyFont="1" applyBorder="1"/>
    <xf numFmtId="15" fontId="5" fillId="0" borderId="1" xfId="0" applyNumberFormat="1" applyFont="1" applyBorder="1" applyAlignment="1">
      <alignment horizontal="center"/>
    </xf>
    <xf numFmtId="15" fontId="5" fillId="0" borderId="1" xfId="0" applyNumberFormat="1" applyFont="1" applyBorder="1"/>
    <xf numFmtId="0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5" fontId="9" fillId="0" borderId="1" xfId="0" applyNumberFormat="1" applyFont="1" applyBorder="1"/>
    <xf numFmtId="0" fontId="5" fillId="2" borderId="1" xfId="0" applyFont="1" applyFill="1" applyBorder="1"/>
    <xf numFmtId="15" fontId="5" fillId="2" borderId="1" xfId="0" applyNumberFormat="1" applyFont="1" applyFill="1" applyBorder="1" applyAlignment="1">
      <alignment horizontal="center"/>
    </xf>
    <xf numFmtId="15" fontId="10" fillId="0" borderId="1" xfId="0" applyNumberFormat="1" applyFont="1" applyBorder="1"/>
    <xf numFmtId="15" fontId="5" fillId="0" borderId="1" xfId="0" applyNumberFormat="1" applyFont="1" applyFill="1" applyBorder="1" applyAlignment="1">
      <alignment horizontal="center"/>
    </xf>
    <xf numFmtId="0" fontId="5" fillId="0" borderId="3" xfId="0" applyFont="1" applyBorder="1"/>
    <xf numFmtId="15" fontId="5" fillId="0" borderId="1" xfId="0" applyNumberFormat="1" applyFont="1" applyBorder="1" applyAlignment="1">
      <alignment horizontal="right"/>
    </xf>
    <xf numFmtId="0" fontId="12" fillId="0" borderId="1" xfId="0" applyFont="1" applyBorder="1"/>
    <xf numFmtId="0" fontId="11" fillId="0" borderId="1" xfId="0" applyFont="1" applyBorder="1"/>
    <xf numFmtId="15" fontId="11" fillId="0" borderId="1" xfId="0" applyNumberFormat="1" applyFont="1" applyBorder="1"/>
    <xf numFmtId="164" fontId="11" fillId="0" borderId="1" xfId="0" applyNumberFormat="1" applyFont="1" applyBorder="1"/>
    <xf numFmtId="0" fontId="5" fillId="0" borderId="0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15" fontId="13" fillId="0" borderId="1" xfId="0" applyNumberFormat="1" applyFont="1" applyBorder="1"/>
    <xf numFmtId="15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9" fillId="0" borderId="1" xfId="0" applyFont="1" applyBorder="1"/>
    <xf numFmtId="0" fontId="9" fillId="2" borderId="1" xfId="0" applyFont="1" applyFill="1" applyBorder="1"/>
    <xf numFmtId="0" fontId="9" fillId="0" borderId="1" xfId="0" applyFont="1" applyFill="1" applyBorder="1"/>
    <xf numFmtId="0" fontId="15" fillId="0" borderId="1" xfId="0" applyFont="1" applyBorder="1"/>
    <xf numFmtId="1" fontId="11" fillId="0" borderId="1" xfId="0" applyNumberFormat="1" applyFont="1" applyBorder="1"/>
    <xf numFmtId="0" fontId="16" fillId="0" borderId="0" xfId="0" applyFont="1"/>
    <xf numFmtId="0" fontId="8" fillId="0" borderId="0" xfId="0" applyFont="1" applyAlignment="1">
      <alignment horizontal="right"/>
    </xf>
    <xf numFmtId="0" fontId="17" fillId="0" borderId="0" xfId="0" applyFont="1"/>
    <xf numFmtId="2" fontId="14" fillId="0" borderId="0" xfId="0" applyNumberFormat="1" applyFont="1"/>
    <xf numFmtId="169" fontId="5" fillId="0" borderId="1" xfId="0" applyNumberFormat="1" applyFont="1" applyBorder="1"/>
    <xf numFmtId="0" fontId="9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5" fillId="0" borderId="0" xfId="0" applyFont="1"/>
    <xf numFmtId="15" fontId="5" fillId="0" borderId="0" xfId="0" applyNumberFormat="1" applyFont="1" applyBorder="1"/>
    <xf numFmtId="15" fontId="18" fillId="0" borderId="1" xfId="0" applyNumberFormat="1" applyFont="1" applyBorder="1"/>
    <xf numFmtId="0" fontId="4" fillId="0" borderId="1" xfId="0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0" fontId="19" fillId="0" borderId="1" xfId="0" applyFont="1" applyBorder="1"/>
    <xf numFmtId="14" fontId="5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32037141738241E-2"/>
          <c:y val="2.9350797169771254E-2"/>
          <c:w val="0.90356996248805321"/>
          <c:h val="0.64497855243822688"/>
        </c:manualLayout>
      </c:layout>
      <c:lineChart>
        <c:grouping val="standard"/>
        <c:varyColors val="0"/>
        <c:ser>
          <c:idx val="0"/>
          <c:order val="0"/>
          <c:tx>
            <c:strRef>
              <c:f>IRRIGATION!$D$95</c:f>
              <c:strCache>
                <c:ptCount val="1"/>
                <c:pt idx="0">
                  <c:v>PERIOD (MONTS)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IRRIGATION!$A$96:$C$101</c:f>
              <c:multiLvlStrCache>
                <c:ptCount val="6"/>
                <c:lvl>
                  <c:pt idx="0">
                    <c:v>3-May-20</c:v>
                  </c:pt>
                  <c:pt idx="1">
                    <c:v>9-May-21</c:v>
                  </c:pt>
                  <c:pt idx="2">
                    <c:v>24-May-22</c:v>
                  </c:pt>
                  <c:pt idx="3">
                    <c:v>2-Jun-23</c:v>
                  </c:pt>
                  <c:pt idx="4">
                    <c:v>22-Jun-24</c:v>
                  </c:pt>
                  <c:pt idx="5">
                    <c:v>12-Jun-25</c:v>
                  </c:pt>
                </c:lvl>
                <c:lvl>
                  <c:pt idx="0">
                    <c:v>22-Dec-20</c:v>
                  </c:pt>
                  <c:pt idx="1">
                    <c:v>20-Dec-21</c:v>
                  </c:pt>
                  <c:pt idx="2">
                    <c:v>10-Dec-22</c:v>
                  </c:pt>
                  <c:pt idx="3">
                    <c:v>3-Dec-23</c:v>
                  </c:pt>
                  <c:pt idx="4">
                    <c:v>2-Dec-24</c:v>
                  </c:pt>
                  <c:pt idx="5">
                    <c:v>2-Dec-25</c:v>
                  </c:pt>
                </c:lvl>
                <c:lvl>
                  <c:pt idx="0">
                    <c:v>2020/21</c:v>
                  </c:pt>
                  <c:pt idx="1">
                    <c:v>2021/22</c:v>
                  </c:pt>
                  <c:pt idx="2">
                    <c:v>2022/23</c:v>
                  </c:pt>
                  <c:pt idx="3">
                    <c:v>2023/24</c:v>
                  </c:pt>
                  <c:pt idx="4">
                    <c:v>2024/25</c:v>
                  </c:pt>
                  <c:pt idx="5">
                    <c:v>2025/26</c:v>
                  </c:pt>
                </c:lvl>
              </c:multiLvlStrCache>
            </c:multiLvlStrRef>
          </c:cat>
          <c:val>
            <c:numRef>
              <c:f>IRRIGATION!$D$96:$D$101</c:f>
              <c:numCache>
                <c:formatCode>0.0</c:formatCode>
                <c:ptCount val="6"/>
                <c:pt idx="0">
                  <c:v>7.7666666666666666</c:v>
                </c:pt>
                <c:pt idx="1">
                  <c:v>7.5</c:v>
                </c:pt>
                <c:pt idx="2">
                  <c:v>6.666666666666667</c:v>
                </c:pt>
                <c:pt idx="3">
                  <c:v>6.1333333333333337</c:v>
                </c:pt>
                <c:pt idx="4">
                  <c:v>5.4333333333333336</c:v>
                </c:pt>
                <c:pt idx="5">
                  <c:v>5.7666666666666666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4-4BC5-A3DD-C3D1ADC2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503359"/>
        <c:axId val="1307510431"/>
      </c:lineChart>
      <c:catAx>
        <c:axId val="130750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7510431"/>
        <c:crosses val="autoZero"/>
        <c:auto val="1"/>
        <c:lblAlgn val="ctr"/>
        <c:lblOffset val="100"/>
        <c:noMultiLvlLbl val="0"/>
      </c:catAx>
      <c:valAx>
        <c:axId val="13075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750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506310256704094E-2"/>
          <c:y val="2.7363789734054129E-2"/>
          <c:w val="0.92090910220531086"/>
          <c:h val="0.68263882967933875"/>
        </c:manualLayout>
      </c:layout>
      <c:lineChart>
        <c:grouping val="standard"/>
        <c:varyColors val="0"/>
        <c:ser>
          <c:idx val="0"/>
          <c:order val="0"/>
          <c:tx>
            <c:strRef>
              <c:f>IRRIGATION!$D$115</c:f>
              <c:strCache>
                <c:ptCount val="1"/>
                <c:pt idx="0">
                  <c:v>PERIOD (Days)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IRRIGATION!$A$116:$C$120</c:f>
              <c:multiLvlStrCache>
                <c:ptCount val="5"/>
                <c:lvl>
                  <c:pt idx="0">
                    <c:v>9-May-21</c:v>
                  </c:pt>
                  <c:pt idx="1">
                    <c:v>24-May-22</c:v>
                  </c:pt>
                  <c:pt idx="2">
                    <c:v>2-Jun-23</c:v>
                  </c:pt>
                  <c:pt idx="3">
                    <c:v>24-Jun-24</c:v>
                  </c:pt>
                  <c:pt idx="4">
                    <c:v>12-Jun-25</c:v>
                  </c:pt>
                </c:lvl>
                <c:lvl>
                  <c:pt idx="0">
                    <c:v>12-Apr-21</c:v>
                  </c:pt>
                  <c:pt idx="1">
                    <c:v>26-Apr-22</c:v>
                  </c:pt>
                  <c:pt idx="2">
                    <c:v>20-Apr-23</c:v>
                  </c:pt>
                  <c:pt idx="3">
                    <c:v>19-Apr-24</c:v>
                  </c:pt>
                  <c:pt idx="4">
                    <c:v>27-Apr-25</c:v>
                  </c:pt>
                </c:lvl>
                <c:lvl>
                  <c:pt idx="0">
                    <c:v>2020/21</c:v>
                  </c:pt>
                  <c:pt idx="1">
                    <c:v>2021/22</c:v>
                  </c:pt>
                  <c:pt idx="2">
                    <c:v>2022/23</c:v>
                  </c:pt>
                  <c:pt idx="3">
                    <c:v>2023/24</c:v>
                  </c:pt>
                  <c:pt idx="4">
                    <c:v>2024/25</c:v>
                  </c:pt>
                </c:lvl>
              </c:multiLvlStrCache>
            </c:multiLvlStrRef>
          </c:cat>
          <c:val>
            <c:numRef>
              <c:f>IRRIGATION!$D$116:$D$120</c:f>
              <c:numCache>
                <c:formatCode>0</c:formatCode>
                <c:ptCount val="5"/>
                <c:pt idx="0">
                  <c:v>27</c:v>
                </c:pt>
                <c:pt idx="1">
                  <c:v>28</c:v>
                </c:pt>
                <c:pt idx="2">
                  <c:v>43</c:v>
                </c:pt>
                <c:pt idx="3">
                  <c:v>66</c:v>
                </c:pt>
                <c:pt idx="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5-4D31-A454-A8B345B0E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729216"/>
        <c:axId val="1991464912"/>
      </c:lineChart>
      <c:catAx>
        <c:axId val="20567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1464912"/>
        <c:crosses val="autoZero"/>
        <c:auto val="1"/>
        <c:lblAlgn val="ctr"/>
        <c:lblOffset val="100"/>
        <c:noMultiLvlLbl val="0"/>
      </c:catAx>
      <c:valAx>
        <c:axId val="19914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672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942818565204024E-2"/>
          <c:y val="2.2625502504393713E-2"/>
          <c:w val="0.92953101100304003"/>
          <c:h val="0.75350554250580726"/>
        </c:manualLayout>
      </c:layout>
      <c:lineChart>
        <c:grouping val="standard"/>
        <c:varyColors val="0"/>
        <c:ser>
          <c:idx val="0"/>
          <c:order val="0"/>
          <c:tx>
            <c:strRef>
              <c:f>IRRIGATION!$D$137</c:f>
              <c:strCache>
                <c:ptCount val="1"/>
                <c:pt idx="0">
                  <c:v>PERIOD (Days)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IRRIGATION!$A$138:$C$142</c:f>
              <c:multiLvlStrCache>
                <c:ptCount val="5"/>
                <c:lvl>
                  <c:pt idx="0">
                    <c:v>25-Dec-20</c:v>
                  </c:pt>
                  <c:pt idx="1">
                    <c:v>18-Dec-21</c:v>
                  </c:pt>
                  <c:pt idx="2">
                    <c:v>20-Dec-22</c:v>
                  </c:pt>
                  <c:pt idx="3">
                    <c:v>1-Dec-23</c:v>
                  </c:pt>
                  <c:pt idx="4">
                    <c:v>31-Dec-24</c:v>
                  </c:pt>
                </c:lvl>
                <c:lvl>
                  <c:pt idx="0">
                    <c:v>22-Dec-20</c:v>
                  </c:pt>
                  <c:pt idx="1">
                    <c:v>20-Dec-21</c:v>
                  </c:pt>
                  <c:pt idx="2">
                    <c:v>10-Dec-22</c:v>
                  </c:pt>
                  <c:pt idx="3">
                    <c:v>3-Dec-23</c:v>
                  </c:pt>
                  <c:pt idx="4">
                    <c:v>2-Dec-24</c:v>
                  </c:pt>
                </c:lvl>
                <c:lvl>
                  <c:pt idx="0">
                    <c:v>2020/21</c:v>
                  </c:pt>
                  <c:pt idx="1">
                    <c:v>2021/22</c:v>
                  </c:pt>
                  <c:pt idx="2">
                    <c:v>2022/23</c:v>
                  </c:pt>
                  <c:pt idx="3">
                    <c:v>2023/24</c:v>
                  </c:pt>
                  <c:pt idx="4">
                    <c:v>2024/25</c:v>
                  </c:pt>
                </c:lvl>
              </c:multiLvlStrCache>
            </c:multiLvlStrRef>
          </c:cat>
          <c:val>
            <c:numRef>
              <c:f>IRRIGATION!$D$138:$D$142</c:f>
              <c:numCache>
                <c:formatCode>General</c:formatCode>
                <c:ptCount val="5"/>
                <c:pt idx="0">
                  <c:v>3</c:v>
                </c:pt>
                <c:pt idx="1">
                  <c:v>-2</c:v>
                </c:pt>
                <c:pt idx="2">
                  <c:v>10</c:v>
                </c:pt>
                <c:pt idx="3">
                  <c:v>-2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8-4CC6-90A4-4C22233A2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867455"/>
        <c:axId val="923884095"/>
      </c:lineChart>
      <c:catAx>
        <c:axId val="92386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23884095"/>
        <c:crosses val="autoZero"/>
        <c:auto val="1"/>
        <c:lblAlgn val="ctr"/>
        <c:lblOffset val="100"/>
        <c:noMultiLvlLbl val="0"/>
      </c:catAx>
      <c:valAx>
        <c:axId val="92388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2386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37266272680721E-2"/>
          <c:y val="3.7037037037037035E-2"/>
          <c:w val="0.90582938301466931"/>
          <c:h val="0.78611913094196562"/>
        </c:manualLayout>
      </c:layout>
      <c:lineChart>
        <c:grouping val="standard"/>
        <c:varyColors val="0"/>
        <c:ser>
          <c:idx val="1"/>
          <c:order val="0"/>
          <c:tx>
            <c:strRef>
              <c:f>IRRIGATION!$CM$7</c:f>
              <c:strCache>
                <c:ptCount val="1"/>
                <c:pt idx="0">
                  <c:v>Avg Cycles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IRRIGATION!$CL$8:$CL$12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IRRIGATION!$CM$8:$CM$12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F-4532-B2FF-8E55FB587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390287"/>
        <c:axId val="1957394863"/>
      </c:lineChart>
      <c:catAx>
        <c:axId val="195739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394863"/>
        <c:crosses val="autoZero"/>
        <c:auto val="1"/>
        <c:lblAlgn val="ctr"/>
        <c:lblOffset val="100"/>
        <c:noMultiLvlLbl val="0"/>
      </c:catAx>
      <c:valAx>
        <c:axId val="19573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39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46038</xdr:colOff>
      <xdr:row>94</xdr:row>
      <xdr:rowOff>12699</xdr:rowOff>
    </xdr:from>
    <xdr:to>
      <xdr:col>15</xdr:col>
      <xdr:colOff>349250</xdr:colOff>
      <xdr:row>111</xdr:row>
      <xdr:rowOff>150811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670717</xdr:colOff>
      <xdr:row>113</xdr:row>
      <xdr:rowOff>124617</xdr:rowOff>
    </xdr:from>
    <xdr:to>
      <xdr:col>15</xdr:col>
      <xdr:colOff>349250</xdr:colOff>
      <xdr:row>133</xdr:row>
      <xdr:rowOff>39686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27781</xdr:colOff>
      <xdr:row>135</xdr:row>
      <xdr:rowOff>164305</xdr:rowOff>
    </xdr:from>
    <xdr:to>
      <xdr:col>15</xdr:col>
      <xdr:colOff>341313</xdr:colOff>
      <xdr:row>156</xdr:row>
      <xdr:rowOff>31749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84</xdr:col>
      <xdr:colOff>178592</xdr:colOff>
      <xdr:row>15</xdr:row>
      <xdr:rowOff>69056</xdr:rowOff>
    </xdr:from>
    <xdr:to>
      <xdr:col>92</xdr:col>
      <xdr:colOff>563561</xdr:colOff>
      <xdr:row>31</xdr:row>
      <xdr:rowOff>18256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0.48176</cdr:x>
      <cdr:y>0.90337</cdr:y>
    </cdr:from>
    <cdr:to>
      <cdr:x>0.61819</cdr:x>
      <cdr:y>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060701" y="2658807"/>
          <a:ext cx="866776" cy="284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SEASON</a:t>
          </a:r>
        </a:p>
      </cdr:txBody>
    </cdr:sp>
  </cdr:relSizeAnchor>
  <cdr:relSizeAnchor xmlns:cdr="http://schemas.openxmlformats.org/drawingml/2006/chartDrawing">
    <cdr:from>
      <cdr:x>0.008</cdr:x>
      <cdr:y>0.01726</cdr:y>
    </cdr:from>
    <cdr:to>
      <cdr:x>0.01519</cdr:x>
      <cdr:y>0.64833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50800" y="50800"/>
          <a:ext cx="45719" cy="18573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PERIOD</a:t>
          </a:r>
          <a:r>
            <a:rPr lang="en-ZA" sz="1100" b="1" i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(Months)</a:t>
          </a:r>
          <a:endParaRPr lang="en-ZA" sz="1100" b="1" i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0.48563</cdr:x>
      <cdr:y>0.9074</cdr:y>
    </cdr:from>
    <cdr:to>
      <cdr:x>0.61258</cdr:x>
      <cdr:y>0.99579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13113" y="2947987"/>
          <a:ext cx="866114" cy="28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SEASON</a:t>
          </a:r>
        </a:p>
      </cdr:txBody>
    </cdr:sp>
  </cdr:relSizeAnchor>
  <cdr:relSizeAnchor xmlns:cdr="http://schemas.openxmlformats.org/drawingml/2006/chartDrawing">
    <cdr:from>
      <cdr:x>0.00745</cdr:x>
      <cdr:y>0.01564</cdr:y>
    </cdr:from>
    <cdr:to>
      <cdr:x>0.01415</cdr:x>
      <cdr:y>0.51869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45719" cy="16343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PERIOD</a:t>
          </a:r>
          <a:r>
            <a:rPr lang="en-ZA" sz="1100" b="1" i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(Days)</a:t>
          </a:r>
          <a:endParaRPr lang="en-ZA" sz="1100" b="1" i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0.4897</cdr:x>
      <cdr:y>0.90125</cdr:y>
    </cdr:from>
    <cdr:to>
      <cdr:x>0.61735</cdr:x>
      <cdr:y>0.98651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527425" y="3035300"/>
          <a:ext cx="919495" cy="287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SEASON</a:t>
          </a:r>
        </a:p>
      </cdr:txBody>
    </cdr:sp>
  </cdr:relSizeAnchor>
  <cdr:relSizeAnchor xmlns:cdr="http://schemas.openxmlformats.org/drawingml/2006/chartDrawing">
    <cdr:from>
      <cdr:x>0</cdr:x>
      <cdr:y>0.02451</cdr:y>
    </cdr:from>
    <cdr:to>
      <cdr:x>0.00674</cdr:x>
      <cdr:y>0.50978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0" y="82550"/>
          <a:ext cx="48528" cy="1634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PERIOD</a:t>
          </a:r>
          <a:r>
            <a:rPr lang="en-ZA" sz="1100" b="1" i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(Days)</a:t>
          </a:r>
          <a:endParaRPr lang="en-ZA" sz="1100" b="1" i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0.00243</cdr:x>
      <cdr:y>0.0706</cdr:y>
    </cdr:from>
    <cdr:to>
      <cdr:x>0.01349</cdr:x>
      <cdr:y>0.59721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112" y="193675"/>
          <a:ext cx="50571" cy="1444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ZA" sz="1100" b="1" i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Cycle</a:t>
          </a:r>
          <a:endParaRPr lang="en-ZA" sz="1100" b="1" i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0.4816</cdr:x>
      <cdr:y>0.89815</cdr:y>
    </cdr:from>
    <cdr:to>
      <cdr:x>0.87275</cdr:x>
      <cdr:y>0.96872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201862" y="2463800"/>
          <a:ext cx="1788373" cy="1935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Season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ungu/Desktop/DCGL/2024/HARVEST%20&amp;%20ACTIVITY%20REPOR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VEST"/>
      <sheetName val="GRAPHS"/>
      <sheetName val="SAFETY"/>
      <sheetName val="FERT. RECOMMENDATION"/>
      <sheetName val="MALICIOUS"/>
      <sheetName val="DELIVERIES EST."/>
      <sheetName val="DELIVERIES LWZ."/>
      <sheetName val="REPLANT"/>
      <sheetName val="VARIETY"/>
      <sheetName val="RAINFALL"/>
      <sheetName val="IRRIGATION"/>
      <sheetName val="IRRIGATION RETURNS"/>
      <sheetName val="IRRIGATION CHARTS"/>
      <sheetName val="DRY OFF"/>
      <sheetName val="GAP FILLING"/>
      <sheetName val="CHEMICALS"/>
      <sheetName val="FERTILIZER"/>
      <sheetName val="HAND WEEDING"/>
      <sheetName val="PEST &amp; DISEASE"/>
      <sheetName val="LABOUR"/>
      <sheetName val="TRAINING"/>
      <sheetName val="Sheet1"/>
      <sheetName val="MACHINE BD"/>
      <sheetName val="2025 TCH PREDICTIONS"/>
      <sheetName val="Unitrans 24"/>
    </sheetNames>
    <sheetDataSet>
      <sheetData sheetId="0"/>
      <sheetData sheetId="1"/>
      <sheetData sheetId="2"/>
      <sheetData sheetId="3"/>
      <sheetData sheetId="4"/>
      <sheetData sheetId="5"/>
      <sheetData sheetId="6">
        <row r="224">
          <cell r="O224"/>
        </row>
      </sheetData>
      <sheetData sheetId="7"/>
      <sheetData sheetId="8"/>
      <sheetData sheetId="9">
        <row r="65">
          <cell r="B65" t="str">
            <v>2019/20</v>
          </cell>
          <cell r="C65" t="str">
            <v>2020/21</v>
          </cell>
          <cell r="D65" t="str">
            <v>2021/22</v>
          </cell>
          <cell r="E65" t="str">
            <v>2022/23</v>
          </cell>
          <cell r="F65" t="str">
            <v>2023/24</v>
          </cell>
        </row>
        <row r="66">
          <cell r="A66" t="str">
            <v>RAINFALL (mm)</v>
          </cell>
          <cell r="B66">
            <v>1368</v>
          </cell>
          <cell r="C66">
            <v>892.5</v>
          </cell>
          <cell r="D66">
            <v>831.7</v>
          </cell>
          <cell r="E66">
            <v>1291</v>
          </cell>
          <cell r="F66">
            <v>1408.5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43"/>
  <sheetViews>
    <sheetView tabSelected="1" zoomScale="70" zoomScaleNormal="70" workbookViewId="0">
      <selection activeCell="A57" sqref="A57:BJ57"/>
    </sheetView>
  </sheetViews>
  <sheetFormatPr defaultRowHeight="13" x14ac:dyDescent="0.3"/>
  <cols>
    <col min="1" max="1" width="12.1796875" style="7" customWidth="1"/>
    <col min="2" max="2" width="18.453125" style="7" customWidth="1"/>
    <col min="3" max="3" width="10.6328125" style="7" bestFit="1" customWidth="1"/>
    <col min="4" max="4" width="13.1796875" style="7" customWidth="1"/>
    <col min="5" max="5" width="9.6328125" style="7" bestFit="1" customWidth="1"/>
    <col min="6" max="6" width="10.6328125" style="7" bestFit="1" customWidth="1"/>
    <col min="7" max="7" width="10.26953125" style="7" bestFit="1" customWidth="1"/>
    <col min="8" max="8" width="8.81640625" style="7" bestFit="1" customWidth="1"/>
    <col min="9" max="10" width="10.26953125" style="7" bestFit="1" customWidth="1"/>
    <col min="11" max="11" width="8.81640625" style="7" bestFit="1" customWidth="1"/>
    <col min="12" max="13" width="10.26953125" style="7" bestFit="1" customWidth="1"/>
    <col min="14" max="14" width="8.81640625" style="7" bestFit="1" customWidth="1"/>
    <col min="15" max="16" width="10.26953125" style="7" bestFit="1" customWidth="1"/>
    <col min="17" max="17" width="8.81640625" style="7" bestFit="1" customWidth="1"/>
    <col min="18" max="18" width="12.1796875" style="7" customWidth="1"/>
    <col min="19" max="19" width="12.1796875" style="7" bestFit="1" customWidth="1"/>
    <col min="20" max="20" width="8.81640625" style="7" bestFit="1" customWidth="1"/>
    <col min="21" max="22" width="10.36328125" style="7" bestFit="1" customWidth="1"/>
    <col min="23" max="23" width="8.81640625" style="7" bestFit="1" customWidth="1"/>
    <col min="24" max="24" width="10.26953125" style="7" bestFit="1" customWidth="1"/>
    <col min="25" max="25" width="10.36328125" style="7" bestFit="1" customWidth="1"/>
    <col min="26" max="26" width="8.81640625" style="7" bestFit="1" customWidth="1"/>
    <col min="27" max="28" width="10.36328125" style="7" bestFit="1" customWidth="1"/>
    <col min="29" max="29" width="8.81640625" style="7" bestFit="1" customWidth="1"/>
    <col min="30" max="31" width="10.36328125" style="7" bestFit="1" customWidth="1"/>
    <col min="32" max="32" width="8.81640625" style="7" bestFit="1" customWidth="1"/>
    <col min="33" max="34" width="10.36328125" style="7" bestFit="1" customWidth="1"/>
    <col min="35" max="35" width="8.81640625" style="7" bestFit="1" customWidth="1"/>
    <col min="36" max="37" width="10.36328125" style="7" bestFit="1" customWidth="1"/>
    <col min="38" max="38" width="8.81640625" style="7" bestFit="1" customWidth="1"/>
    <col min="39" max="40" width="10.36328125" style="7" bestFit="1" customWidth="1"/>
    <col min="41" max="41" width="8.81640625" style="7" bestFit="1" customWidth="1"/>
    <col min="42" max="43" width="10.36328125" style="7" bestFit="1" customWidth="1"/>
    <col min="44" max="44" width="8.81640625" style="7" bestFit="1" customWidth="1"/>
    <col min="45" max="46" width="10.36328125" style="7" bestFit="1" customWidth="1"/>
    <col min="47" max="47" width="8.81640625" style="7" bestFit="1" customWidth="1"/>
    <col min="48" max="49" width="10.36328125" style="7" bestFit="1" customWidth="1"/>
    <col min="50" max="50" width="8.81640625" style="7" bestFit="1" customWidth="1"/>
    <col min="51" max="52" width="10.36328125" style="7" bestFit="1" customWidth="1"/>
    <col min="53" max="53" width="8.81640625" style="7" bestFit="1" customWidth="1"/>
    <col min="54" max="55" width="10.1796875" style="7" bestFit="1" customWidth="1"/>
    <col min="56" max="56" width="8.81640625" style="7" bestFit="1" customWidth="1"/>
    <col min="57" max="58" width="9.81640625" style="7" bestFit="1" customWidth="1"/>
    <col min="59" max="59" width="8.81640625" style="7" bestFit="1" customWidth="1"/>
    <col min="60" max="61" width="9.81640625" style="7" bestFit="1" customWidth="1"/>
    <col min="62" max="62" width="8.81640625" style="7" bestFit="1" customWidth="1"/>
    <col min="63" max="64" width="9.81640625" style="7" bestFit="1" customWidth="1"/>
    <col min="65" max="65" width="8.81640625" style="7" bestFit="1" customWidth="1"/>
    <col min="66" max="67" width="9.26953125" style="7" bestFit="1" customWidth="1"/>
    <col min="68" max="68" width="8.81640625" style="7" bestFit="1" customWidth="1"/>
    <col min="69" max="70" width="10.36328125" style="7" bestFit="1" customWidth="1"/>
    <col min="71" max="71" width="8.81640625" style="7" bestFit="1" customWidth="1"/>
    <col min="72" max="73" width="10.36328125" style="7" bestFit="1" customWidth="1"/>
    <col min="74" max="74" width="8.81640625" style="7" bestFit="1" customWidth="1"/>
    <col min="75" max="76" width="10.36328125" style="7" bestFit="1" customWidth="1"/>
    <col min="77" max="16384" width="8.7265625" style="7"/>
  </cols>
  <sheetData>
    <row r="1" spans="1:95" ht="20.5" x14ac:dyDescent="0.4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4"/>
      <c r="BK1" s="5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</row>
    <row r="2" spans="1:95" s="1" customFormat="1" ht="17.5" x14ac:dyDescent="0.35">
      <c r="A2" s="68" t="s">
        <v>64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70"/>
      <c r="BK2" s="2"/>
    </row>
    <row r="3" spans="1:95" s="1" customFormat="1" ht="14" x14ac:dyDescent="0.3">
      <c r="A3" s="5"/>
      <c r="B3" s="5"/>
      <c r="C3" s="5" t="s">
        <v>22</v>
      </c>
      <c r="D3" s="5"/>
      <c r="E3" s="5" t="s">
        <v>39</v>
      </c>
      <c r="F3" s="6"/>
      <c r="G3" s="5" t="s">
        <v>23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</row>
    <row r="4" spans="1:95" s="1" customFormat="1" ht="14" x14ac:dyDescent="0.3">
      <c r="A4" s="3" t="s">
        <v>24</v>
      </c>
      <c r="B4" s="3"/>
      <c r="C4" s="4">
        <v>45461</v>
      </c>
      <c r="D4" s="4"/>
      <c r="E4" s="4">
        <v>45465</v>
      </c>
      <c r="F4" s="6"/>
      <c r="G4" s="8">
        <v>45467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</row>
    <row r="5" spans="1:95" s="1" customFormat="1" ht="14" x14ac:dyDescent="0.3">
      <c r="A5" s="3" t="s">
        <v>25</v>
      </c>
      <c r="B5" s="3"/>
      <c r="C5" s="4">
        <v>45628</v>
      </c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</row>
    <row r="6" spans="1:95" s="1" customFormat="1" ht="14" x14ac:dyDescent="0.3">
      <c r="A6" s="3"/>
      <c r="B6" s="3"/>
      <c r="C6" s="5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</row>
    <row r="7" spans="1:95" s="1" customFormat="1" ht="14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>
        <v>14</v>
      </c>
      <c r="CI7" s="6">
        <v>14</v>
      </c>
      <c r="CJ7" s="6">
        <v>14</v>
      </c>
      <c r="CK7" s="6"/>
      <c r="CL7" s="6" t="s">
        <v>90</v>
      </c>
      <c r="CM7" s="6" t="s">
        <v>89</v>
      </c>
      <c r="CN7" s="6"/>
      <c r="CO7" s="6"/>
      <c r="CP7" s="6"/>
      <c r="CQ7" s="6"/>
    </row>
    <row r="8" spans="1:95" s="1" customFormat="1" ht="15" customHeight="1" x14ac:dyDescent="0.3">
      <c r="A8" s="9" t="s">
        <v>26</v>
      </c>
      <c r="B8" s="10"/>
      <c r="C8" s="61">
        <v>1</v>
      </c>
      <c r="D8" s="66"/>
      <c r="E8" s="58" t="s">
        <v>27</v>
      </c>
      <c r="F8" s="66">
        <v>2</v>
      </c>
      <c r="G8" s="66"/>
      <c r="H8" s="58" t="s">
        <v>27</v>
      </c>
      <c r="I8" s="66">
        <v>3</v>
      </c>
      <c r="J8" s="66"/>
      <c r="K8" s="58" t="s">
        <v>27</v>
      </c>
      <c r="L8" s="66">
        <v>4</v>
      </c>
      <c r="M8" s="66"/>
      <c r="N8" s="58" t="s">
        <v>27</v>
      </c>
      <c r="O8" s="66">
        <v>5</v>
      </c>
      <c r="P8" s="66"/>
      <c r="Q8" s="58" t="s">
        <v>27</v>
      </c>
      <c r="R8" s="60">
        <v>6</v>
      </c>
      <c r="S8" s="61"/>
      <c r="T8" s="58" t="s">
        <v>27</v>
      </c>
      <c r="U8" s="60">
        <v>7</v>
      </c>
      <c r="V8" s="61"/>
      <c r="W8" s="58" t="s">
        <v>27</v>
      </c>
      <c r="X8" s="60">
        <v>8</v>
      </c>
      <c r="Y8" s="61"/>
      <c r="Z8" s="58" t="s">
        <v>27</v>
      </c>
      <c r="AA8" s="60">
        <v>9</v>
      </c>
      <c r="AB8" s="61"/>
      <c r="AC8" s="58" t="s">
        <v>27</v>
      </c>
      <c r="AD8" s="60">
        <v>10</v>
      </c>
      <c r="AE8" s="61"/>
      <c r="AF8" s="58" t="s">
        <v>27</v>
      </c>
      <c r="AG8" s="60">
        <v>11</v>
      </c>
      <c r="AH8" s="61"/>
      <c r="AI8" s="58" t="s">
        <v>27</v>
      </c>
      <c r="AJ8" s="60">
        <v>12</v>
      </c>
      <c r="AK8" s="61"/>
      <c r="AL8" s="58" t="s">
        <v>27</v>
      </c>
      <c r="AM8" s="60">
        <v>13</v>
      </c>
      <c r="AN8" s="61"/>
      <c r="AO8" s="58" t="s">
        <v>27</v>
      </c>
      <c r="AP8" s="60">
        <v>14</v>
      </c>
      <c r="AQ8" s="61"/>
      <c r="AR8" s="58" t="s">
        <v>27</v>
      </c>
      <c r="AS8" s="60">
        <v>15</v>
      </c>
      <c r="AT8" s="61"/>
      <c r="AU8" s="58" t="s">
        <v>27</v>
      </c>
      <c r="AV8" s="60">
        <v>16</v>
      </c>
      <c r="AW8" s="61"/>
      <c r="AX8" s="58" t="s">
        <v>27</v>
      </c>
      <c r="AY8" s="60">
        <v>17</v>
      </c>
      <c r="AZ8" s="61"/>
      <c r="BA8" s="58" t="s">
        <v>27</v>
      </c>
      <c r="BB8" s="60">
        <v>18</v>
      </c>
      <c r="BC8" s="61"/>
      <c r="BD8" s="58" t="s">
        <v>27</v>
      </c>
      <c r="BE8" s="60">
        <v>19</v>
      </c>
      <c r="BF8" s="61"/>
      <c r="BG8" s="58" t="s">
        <v>27</v>
      </c>
      <c r="BH8" s="60">
        <v>20</v>
      </c>
      <c r="BI8" s="61"/>
      <c r="BJ8" s="58" t="s">
        <v>27</v>
      </c>
      <c r="BK8" s="60">
        <v>21</v>
      </c>
      <c r="BL8" s="61"/>
      <c r="BM8" s="58" t="s">
        <v>28</v>
      </c>
      <c r="BN8" s="60">
        <v>22</v>
      </c>
      <c r="BO8" s="61"/>
      <c r="BP8" s="58" t="s">
        <v>28</v>
      </c>
      <c r="BQ8" s="60">
        <v>23</v>
      </c>
      <c r="BR8" s="61"/>
      <c r="BS8" s="58" t="s">
        <v>28</v>
      </c>
      <c r="BT8" s="60">
        <v>24</v>
      </c>
      <c r="BU8" s="61"/>
      <c r="BV8" s="58" t="s">
        <v>28</v>
      </c>
      <c r="BW8" s="60">
        <v>25</v>
      </c>
      <c r="BX8" s="61"/>
      <c r="BY8" s="58" t="s">
        <v>28</v>
      </c>
      <c r="BZ8" s="60">
        <v>26</v>
      </c>
      <c r="CA8" s="61"/>
      <c r="CB8" s="58" t="s">
        <v>28</v>
      </c>
      <c r="CC8" s="60">
        <v>27</v>
      </c>
      <c r="CD8" s="61"/>
      <c r="CE8" s="58" t="s">
        <v>28</v>
      </c>
      <c r="CF8" s="6"/>
      <c r="CG8" s="6"/>
      <c r="CH8" s="6">
        <v>18</v>
      </c>
      <c r="CI8" s="6">
        <v>13</v>
      </c>
      <c r="CJ8" s="6">
        <v>10</v>
      </c>
      <c r="CK8" s="6"/>
      <c r="CL8" s="6">
        <v>2021</v>
      </c>
      <c r="CM8" s="6">
        <v>7</v>
      </c>
      <c r="CN8" s="6"/>
      <c r="CO8" s="6"/>
      <c r="CP8" s="6"/>
      <c r="CQ8" s="6"/>
    </row>
    <row r="9" spans="1:95" s="1" customFormat="1" ht="14" x14ac:dyDescent="0.3">
      <c r="A9" s="11" t="s">
        <v>10</v>
      </c>
      <c r="B9" s="11" t="s">
        <v>29</v>
      </c>
      <c r="C9" s="12" t="s">
        <v>30</v>
      </c>
      <c r="D9" s="12" t="s">
        <v>31</v>
      </c>
      <c r="E9" s="59"/>
      <c r="F9" s="12" t="s">
        <v>30</v>
      </c>
      <c r="G9" s="12" t="s">
        <v>31</v>
      </c>
      <c r="H9" s="59"/>
      <c r="I9" s="12" t="s">
        <v>30</v>
      </c>
      <c r="J9" s="12" t="s">
        <v>31</v>
      </c>
      <c r="K9" s="59"/>
      <c r="L9" s="12" t="s">
        <v>30</v>
      </c>
      <c r="M9" s="12" t="s">
        <v>31</v>
      </c>
      <c r="N9" s="59"/>
      <c r="O9" s="12" t="s">
        <v>30</v>
      </c>
      <c r="P9" s="12" t="s">
        <v>31</v>
      </c>
      <c r="Q9" s="59"/>
      <c r="R9" s="12" t="s">
        <v>30</v>
      </c>
      <c r="S9" s="12" t="s">
        <v>31</v>
      </c>
      <c r="T9" s="59"/>
      <c r="U9" s="12" t="s">
        <v>30</v>
      </c>
      <c r="V9" s="12" t="s">
        <v>31</v>
      </c>
      <c r="W9" s="59"/>
      <c r="X9" s="12" t="s">
        <v>30</v>
      </c>
      <c r="Y9" s="12" t="s">
        <v>31</v>
      </c>
      <c r="Z9" s="59"/>
      <c r="AA9" s="12" t="s">
        <v>30</v>
      </c>
      <c r="AB9" s="12" t="s">
        <v>31</v>
      </c>
      <c r="AC9" s="59"/>
      <c r="AD9" s="12" t="s">
        <v>30</v>
      </c>
      <c r="AE9" s="12" t="s">
        <v>31</v>
      </c>
      <c r="AF9" s="59"/>
      <c r="AG9" s="12" t="s">
        <v>30</v>
      </c>
      <c r="AH9" s="12" t="s">
        <v>31</v>
      </c>
      <c r="AI9" s="59"/>
      <c r="AJ9" s="12" t="s">
        <v>30</v>
      </c>
      <c r="AK9" s="12" t="s">
        <v>31</v>
      </c>
      <c r="AL9" s="59"/>
      <c r="AM9" s="12" t="s">
        <v>30</v>
      </c>
      <c r="AN9" s="12" t="s">
        <v>31</v>
      </c>
      <c r="AO9" s="59"/>
      <c r="AP9" s="12" t="s">
        <v>30</v>
      </c>
      <c r="AQ9" s="12" t="s">
        <v>31</v>
      </c>
      <c r="AR9" s="59"/>
      <c r="AS9" s="12" t="s">
        <v>30</v>
      </c>
      <c r="AT9" s="12" t="s">
        <v>31</v>
      </c>
      <c r="AU9" s="59"/>
      <c r="AV9" s="12" t="s">
        <v>30</v>
      </c>
      <c r="AW9" s="12" t="s">
        <v>31</v>
      </c>
      <c r="AX9" s="59"/>
      <c r="AY9" s="12" t="s">
        <v>30</v>
      </c>
      <c r="AZ9" s="12" t="s">
        <v>31</v>
      </c>
      <c r="BA9" s="59"/>
      <c r="BB9" s="12" t="s">
        <v>30</v>
      </c>
      <c r="BC9" s="12" t="s">
        <v>31</v>
      </c>
      <c r="BD9" s="59"/>
      <c r="BE9" s="12" t="s">
        <v>30</v>
      </c>
      <c r="BF9" s="12" t="s">
        <v>31</v>
      </c>
      <c r="BG9" s="59"/>
      <c r="BH9" s="12" t="s">
        <v>30</v>
      </c>
      <c r="BI9" s="12" t="s">
        <v>31</v>
      </c>
      <c r="BJ9" s="59"/>
      <c r="BK9" s="12" t="s">
        <v>30</v>
      </c>
      <c r="BL9" s="12" t="s">
        <v>31</v>
      </c>
      <c r="BM9" s="67"/>
      <c r="BN9" s="12" t="s">
        <v>30</v>
      </c>
      <c r="BO9" s="12" t="s">
        <v>31</v>
      </c>
      <c r="BP9" s="67"/>
      <c r="BQ9" s="12" t="s">
        <v>30</v>
      </c>
      <c r="BR9" s="12" t="s">
        <v>31</v>
      </c>
      <c r="BS9" s="67"/>
      <c r="BT9" s="12" t="s">
        <v>30</v>
      </c>
      <c r="BU9" s="12" t="s">
        <v>31</v>
      </c>
      <c r="BV9" s="67"/>
      <c r="BW9" s="12" t="s">
        <v>30</v>
      </c>
      <c r="BX9" s="12" t="s">
        <v>31</v>
      </c>
      <c r="BY9" s="67"/>
      <c r="BZ9" s="12" t="s">
        <v>30</v>
      </c>
      <c r="CA9" s="12" t="s">
        <v>31</v>
      </c>
      <c r="CB9" s="67"/>
      <c r="CC9" s="12" t="s">
        <v>30</v>
      </c>
      <c r="CD9" s="12" t="s">
        <v>31</v>
      </c>
      <c r="CE9" s="67"/>
      <c r="CF9" s="6"/>
      <c r="CG9" s="6"/>
      <c r="CH9" s="6">
        <v>14</v>
      </c>
      <c r="CI9" s="6">
        <v>14</v>
      </c>
      <c r="CJ9" s="6">
        <v>8</v>
      </c>
      <c r="CK9" s="6"/>
      <c r="CL9" s="6">
        <v>2022</v>
      </c>
      <c r="CM9" s="6">
        <v>9</v>
      </c>
      <c r="CN9" s="6"/>
      <c r="CO9" s="6"/>
      <c r="CP9" s="6"/>
      <c r="CQ9" s="6"/>
    </row>
    <row r="10" spans="1:95" s="1" customFormat="1" ht="14" x14ac:dyDescent="0.3">
      <c r="A10" s="36" t="s">
        <v>9</v>
      </c>
      <c r="B10" s="13">
        <v>45413</v>
      </c>
      <c r="C10" s="14">
        <v>45426</v>
      </c>
      <c r="D10" s="14">
        <v>45434</v>
      </c>
      <c r="E10" s="15">
        <f>(D10-C10)+1</f>
        <v>9</v>
      </c>
      <c r="F10" s="14">
        <v>45441</v>
      </c>
      <c r="G10" s="14">
        <v>45447</v>
      </c>
      <c r="H10" s="15">
        <f>(G10-F10)+1</f>
        <v>7</v>
      </c>
      <c r="I10" s="14">
        <v>45461</v>
      </c>
      <c r="J10" s="14">
        <v>45463</v>
      </c>
      <c r="K10" s="15">
        <f>(J10-I10)+1</f>
        <v>3</v>
      </c>
      <c r="L10" s="14">
        <v>45477</v>
      </c>
      <c r="M10" s="14">
        <v>45482</v>
      </c>
      <c r="N10" s="16">
        <f>(M10-L10)+1</f>
        <v>6</v>
      </c>
      <c r="O10" s="14">
        <v>45492</v>
      </c>
      <c r="P10" s="14">
        <v>45497</v>
      </c>
      <c r="Q10" s="16">
        <f>(P10-O10)+1</f>
        <v>6</v>
      </c>
      <c r="R10" s="14">
        <v>45516</v>
      </c>
      <c r="S10" s="14">
        <v>45525</v>
      </c>
      <c r="T10" s="30">
        <f>(S10-R10)+1</f>
        <v>10</v>
      </c>
      <c r="U10" s="14">
        <v>45525</v>
      </c>
      <c r="V10" s="14">
        <v>45527</v>
      </c>
      <c r="W10" s="30">
        <f>(V10-U10)+1</f>
        <v>3</v>
      </c>
      <c r="X10" s="14">
        <v>45533</v>
      </c>
      <c r="Y10" s="14">
        <v>45540</v>
      </c>
      <c r="Z10" s="30">
        <f>(Y10-X10)+1</f>
        <v>8</v>
      </c>
      <c r="AA10" s="14">
        <v>45548</v>
      </c>
      <c r="AB10" s="14">
        <v>45555</v>
      </c>
      <c r="AC10" s="30">
        <f>(AB10-AA10)+1</f>
        <v>8</v>
      </c>
      <c r="AD10" s="14">
        <v>45565</v>
      </c>
      <c r="AE10" s="14">
        <v>45576</v>
      </c>
      <c r="AF10" s="30">
        <f>(AE10-AD10)+1</f>
        <v>12</v>
      </c>
      <c r="AG10" s="14">
        <v>45584</v>
      </c>
      <c r="AH10" s="14">
        <v>45589</v>
      </c>
      <c r="AI10" s="30">
        <f>(AH10-AG10)+1</f>
        <v>6</v>
      </c>
      <c r="AJ10" s="14">
        <v>45590</v>
      </c>
      <c r="AK10" s="14">
        <v>45597</v>
      </c>
      <c r="AL10" s="30">
        <f>(AK10-AJ10)+1</f>
        <v>8</v>
      </c>
      <c r="AM10" s="14">
        <v>45597</v>
      </c>
      <c r="AN10" s="14">
        <v>45600</v>
      </c>
      <c r="AO10" s="30">
        <f>(AN10-AM10)+1</f>
        <v>4</v>
      </c>
      <c r="AP10" s="14">
        <v>45636</v>
      </c>
      <c r="AQ10" s="17">
        <v>45657</v>
      </c>
      <c r="AR10" s="30">
        <f>(AQ10-AP10)+1</f>
        <v>22</v>
      </c>
      <c r="AS10" s="14"/>
      <c r="AT10" s="14"/>
      <c r="AU10" s="30">
        <f>(AT10-AS10)+1</f>
        <v>1</v>
      </c>
      <c r="AV10" s="14"/>
      <c r="AW10" s="14"/>
      <c r="AX10" s="30">
        <f>(AW10-AV10)+1</f>
        <v>1</v>
      </c>
      <c r="AY10" s="14"/>
      <c r="AZ10" s="14"/>
      <c r="BA10" s="30">
        <f>(AZ10-AY10)+1</f>
        <v>1</v>
      </c>
      <c r="BB10" s="14"/>
      <c r="BC10" s="14"/>
      <c r="BD10" s="30">
        <f>(BC10-BB10)+1</f>
        <v>1</v>
      </c>
      <c r="BE10" s="14"/>
      <c r="BF10" s="14"/>
      <c r="BG10" s="30">
        <f>(BF10-BE10)+1</f>
        <v>1</v>
      </c>
      <c r="BH10" s="14"/>
      <c r="BI10" s="14"/>
      <c r="BJ10" s="30">
        <f>(BI10-BH10)+1</f>
        <v>1</v>
      </c>
      <c r="BK10" s="14"/>
      <c r="BL10" s="14"/>
      <c r="BM10" s="30">
        <f>(BL10-BK10)+1</f>
        <v>1</v>
      </c>
      <c r="BN10" s="14"/>
      <c r="BO10" s="14"/>
      <c r="BP10" s="30">
        <f>(BO10-BN10)+1</f>
        <v>1</v>
      </c>
      <c r="BQ10" s="12"/>
      <c r="BR10" s="12"/>
      <c r="BS10" s="30">
        <f>(BR10-BQ10)+1</f>
        <v>1</v>
      </c>
      <c r="BT10" s="14"/>
      <c r="BU10" s="14"/>
      <c r="BV10" s="30">
        <f>(BU10-BT10)+1</f>
        <v>1</v>
      </c>
      <c r="BW10" s="12"/>
      <c r="BX10" s="12"/>
      <c r="BY10" s="30">
        <f>(BX10-BW10)+1</f>
        <v>1</v>
      </c>
      <c r="BZ10" s="14"/>
      <c r="CA10" s="14"/>
      <c r="CB10" s="30">
        <f>(CA10-BZ10)+1</f>
        <v>1</v>
      </c>
      <c r="CC10" s="14"/>
      <c r="CD10" s="14"/>
      <c r="CE10" s="30">
        <f>(CD10-CC10)+1</f>
        <v>1</v>
      </c>
      <c r="CF10" s="6"/>
      <c r="CG10" s="6"/>
      <c r="CH10" s="6">
        <v>15</v>
      </c>
      <c r="CI10" s="6">
        <v>10</v>
      </c>
      <c r="CJ10" s="6">
        <v>6</v>
      </c>
      <c r="CK10" s="6"/>
      <c r="CL10" s="6">
        <v>2023</v>
      </c>
      <c r="CM10" s="6">
        <v>11</v>
      </c>
      <c r="CN10" s="6"/>
      <c r="CO10" s="6"/>
      <c r="CP10" s="6"/>
      <c r="CQ10" s="6"/>
    </row>
    <row r="11" spans="1:95" s="1" customFormat="1" ht="14" x14ac:dyDescent="0.3">
      <c r="A11" s="36" t="s">
        <v>11</v>
      </c>
      <c r="B11" s="13">
        <v>45418</v>
      </c>
      <c r="C11" s="14">
        <v>45430</v>
      </c>
      <c r="D11" s="14">
        <v>45456</v>
      </c>
      <c r="E11" s="15">
        <f>(D11-C11)+1</f>
        <v>27</v>
      </c>
      <c r="F11" s="14">
        <v>45457</v>
      </c>
      <c r="G11" s="14">
        <v>45477</v>
      </c>
      <c r="H11" s="15">
        <f t="shared" ref="H11:H13" si="0">(G11-F11)+1</f>
        <v>21</v>
      </c>
      <c r="I11" s="14">
        <v>45478</v>
      </c>
      <c r="J11" s="14">
        <v>45491</v>
      </c>
      <c r="K11" s="15">
        <f t="shared" ref="K11:K48" si="1">(J11-I11)+1</f>
        <v>14</v>
      </c>
      <c r="L11" s="14">
        <v>45492</v>
      </c>
      <c r="M11" s="14">
        <v>45508</v>
      </c>
      <c r="N11" s="16">
        <f t="shared" ref="N11:N48" si="2">(M11-L11)+1</f>
        <v>17</v>
      </c>
      <c r="O11" s="14">
        <v>45512</v>
      </c>
      <c r="P11" s="14">
        <v>45520</v>
      </c>
      <c r="Q11" s="16">
        <f t="shared" ref="Q11:Q48" si="3">(P11-O11)+1</f>
        <v>9</v>
      </c>
      <c r="R11" s="14">
        <v>45521</v>
      </c>
      <c r="S11" s="14">
        <v>45532</v>
      </c>
      <c r="T11" s="30">
        <f t="shared" ref="T11:T48" si="4">(S11-R11)+1</f>
        <v>12</v>
      </c>
      <c r="U11" s="14">
        <v>45537</v>
      </c>
      <c r="V11" s="14">
        <v>45545</v>
      </c>
      <c r="W11" s="30">
        <f t="shared" ref="W11:W48" si="5">(V11-U11)+1</f>
        <v>9</v>
      </c>
      <c r="X11" s="14">
        <v>45546</v>
      </c>
      <c r="Y11" s="14">
        <v>45555</v>
      </c>
      <c r="Z11" s="30">
        <f t="shared" ref="Z11:Z48" si="6">(Y11-X11)+1</f>
        <v>10</v>
      </c>
      <c r="AA11" s="14">
        <v>45556</v>
      </c>
      <c r="AB11" s="14">
        <v>45569</v>
      </c>
      <c r="AC11" s="30">
        <f t="shared" ref="AC11:AC48" si="7">(AB11-AA11)+1</f>
        <v>14</v>
      </c>
      <c r="AD11" s="14">
        <v>45570</v>
      </c>
      <c r="AE11" s="14">
        <v>45577</v>
      </c>
      <c r="AF11" s="30">
        <f t="shared" ref="AF11:AF48" si="8">(AE11-AD11)+1</f>
        <v>8</v>
      </c>
      <c r="AG11" s="14">
        <v>45579</v>
      </c>
      <c r="AH11" s="14">
        <v>45586</v>
      </c>
      <c r="AI11" s="30">
        <f t="shared" ref="AI11:AI48" si="9">(AH11-AG11)+1</f>
        <v>8</v>
      </c>
      <c r="AJ11" s="14">
        <v>45587</v>
      </c>
      <c r="AK11" s="14">
        <v>45593</v>
      </c>
      <c r="AL11" s="30">
        <f t="shared" ref="AL11:AL48" si="10">(AK11-AJ11)+1</f>
        <v>7</v>
      </c>
      <c r="AM11" s="14">
        <v>45593</v>
      </c>
      <c r="AN11" s="14">
        <v>45601</v>
      </c>
      <c r="AO11" s="30">
        <f t="shared" ref="AO11:AO48" si="11">(AN11-AM11)+1</f>
        <v>9</v>
      </c>
      <c r="AP11" s="14">
        <v>45602</v>
      </c>
      <c r="AQ11" s="14">
        <v>45608</v>
      </c>
      <c r="AR11" s="30">
        <f t="shared" ref="AR11:AR48" si="12">(AQ11-AP11)+1</f>
        <v>7</v>
      </c>
      <c r="AS11" s="14">
        <v>45609</v>
      </c>
      <c r="AT11" s="14">
        <v>45614</v>
      </c>
      <c r="AU11" s="30">
        <f t="shared" ref="AU11:AU48" si="13">(AT11-AS11)+1</f>
        <v>6</v>
      </c>
      <c r="AV11" s="14">
        <v>45615</v>
      </c>
      <c r="AW11" s="14">
        <v>45621</v>
      </c>
      <c r="AX11" s="30">
        <f t="shared" ref="AX11:AX48" si="14">(AW11-AV11)+1</f>
        <v>7</v>
      </c>
      <c r="AY11" s="14">
        <v>45622</v>
      </c>
      <c r="AZ11" s="14">
        <v>45626</v>
      </c>
      <c r="BA11" s="30">
        <f t="shared" ref="BA11:BA48" si="15">(AZ11-AY11)+1</f>
        <v>5</v>
      </c>
      <c r="BB11" s="17">
        <v>45657</v>
      </c>
      <c r="BC11" s="17">
        <v>45657</v>
      </c>
      <c r="BD11" s="30">
        <f t="shared" ref="BD11:BD48" si="16">(BC11-BB11)+1</f>
        <v>1</v>
      </c>
      <c r="BE11" s="14"/>
      <c r="BF11" s="14"/>
      <c r="BG11" s="30">
        <f t="shared" ref="BG11:BG48" si="17">(BF11-BE11)+1</f>
        <v>1</v>
      </c>
      <c r="BH11" s="14"/>
      <c r="BI11" s="14"/>
      <c r="BJ11" s="30">
        <f t="shared" ref="BJ11:BJ48" si="18">(BI11-BH11)+1</f>
        <v>1</v>
      </c>
      <c r="BK11" s="14"/>
      <c r="BL11" s="14"/>
      <c r="BM11" s="30">
        <f t="shared" ref="BM11:BM48" si="19">(BL11-BK11)+1</f>
        <v>1</v>
      </c>
      <c r="BN11" s="14"/>
      <c r="BO11" s="14"/>
      <c r="BP11" s="30">
        <f t="shared" ref="BP11:BP48" si="20">(BO11-BN11)+1</f>
        <v>1</v>
      </c>
      <c r="BQ11" s="14"/>
      <c r="BR11" s="14"/>
      <c r="BS11" s="30">
        <f t="shared" ref="BS11:BS48" si="21">(BR11-BQ11)+1</f>
        <v>1</v>
      </c>
      <c r="BT11" s="14"/>
      <c r="BU11" s="14"/>
      <c r="BV11" s="30">
        <f t="shared" ref="BV11:BV48" si="22">(BU11-BT11)+1</f>
        <v>1</v>
      </c>
      <c r="BW11" s="12"/>
      <c r="BX11" s="12"/>
      <c r="BY11" s="30">
        <f t="shared" ref="BY11:BY48" si="23">(BX11-BW11)+1</f>
        <v>1</v>
      </c>
      <c r="BZ11" s="14"/>
      <c r="CA11" s="14"/>
      <c r="CB11" s="30">
        <f t="shared" ref="CB11:CB48" si="24">(CA11-BZ11)+1</f>
        <v>1</v>
      </c>
      <c r="CC11" s="14"/>
      <c r="CD11" s="14"/>
      <c r="CE11" s="30">
        <f t="shared" ref="CE11:CE48" si="25">(CD11-CC11)+1</f>
        <v>1</v>
      </c>
      <c r="CF11" s="6"/>
      <c r="CG11" s="6"/>
      <c r="CH11" s="6">
        <v>27</v>
      </c>
      <c r="CI11" s="6">
        <v>12</v>
      </c>
      <c r="CJ11" s="6"/>
      <c r="CK11" s="6"/>
      <c r="CL11" s="6">
        <v>2024</v>
      </c>
      <c r="CM11" s="6">
        <v>12</v>
      </c>
      <c r="CN11" s="6"/>
      <c r="CO11" s="6"/>
      <c r="CP11" s="6"/>
      <c r="CQ11" s="6"/>
    </row>
    <row r="12" spans="1:95" s="1" customFormat="1" ht="14" x14ac:dyDescent="0.3">
      <c r="A12" s="37" t="s">
        <v>18</v>
      </c>
      <c r="B12" s="19">
        <v>45547</v>
      </c>
      <c r="C12" s="14">
        <v>45435</v>
      </c>
      <c r="D12" s="14">
        <v>45447</v>
      </c>
      <c r="E12" s="15">
        <f t="shared" ref="E12:E48" si="26">(D12-C12)+1</f>
        <v>13</v>
      </c>
      <c r="F12" s="14">
        <v>45449</v>
      </c>
      <c r="G12" s="14">
        <v>45455</v>
      </c>
      <c r="H12" s="15">
        <f t="shared" si="0"/>
        <v>7</v>
      </c>
      <c r="I12" s="14">
        <v>45471</v>
      </c>
      <c r="J12" s="14">
        <v>45476</v>
      </c>
      <c r="K12" s="15">
        <f t="shared" si="1"/>
        <v>6</v>
      </c>
      <c r="L12" s="14">
        <v>45493</v>
      </c>
      <c r="M12" s="14">
        <v>45501</v>
      </c>
      <c r="N12" s="16">
        <f t="shared" si="2"/>
        <v>9</v>
      </c>
      <c r="O12" s="14">
        <v>45513</v>
      </c>
      <c r="P12" s="14">
        <v>45525</v>
      </c>
      <c r="Q12" s="16">
        <f t="shared" si="3"/>
        <v>13</v>
      </c>
      <c r="R12" s="14">
        <v>45526</v>
      </c>
      <c r="S12" s="14">
        <v>45528</v>
      </c>
      <c r="T12" s="30">
        <f t="shared" si="4"/>
        <v>3</v>
      </c>
      <c r="U12" s="14">
        <v>45540</v>
      </c>
      <c r="V12" s="14">
        <v>45548</v>
      </c>
      <c r="W12" s="30">
        <f t="shared" si="5"/>
        <v>9</v>
      </c>
      <c r="X12" s="14">
        <v>45554</v>
      </c>
      <c r="Y12" s="14">
        <v>45569</v>
      </c>
      <c r="Z12" s="30">
        <f t="shared" si="6"/>
        <v>16</v>
      </c>
      <c r="AA12" s="14">
        <v>45579</v>
      </c>
      <c r="AB12" s="14">
        <v>45589</v>
      </c>
      <c r="AC12" s="30">
        <f t="shared" si="7"/>
        <v>11</v>
      </c>
      <c r="AD12" s="14">
        <v>45590</v>
      </c>
      <c r="AE12" s="14">
        <v>45597</v>
      </c>
      <c r="AF12" s="30">
        <f t="shared" si="8"/>
        <v>8</v>
      </c>
      <c r="AG12" s="14">
        <v>45600</v>
      </c>
      <c r="AH12" s="14">
        <v>45603</v>
      </c>
      <c r="AI12" s="30">
        <f t="shared" si="9"/>
        <v>4</v>
      </c>
      <c r="AJ12" s="14">
        <v>45608</v>
      </c>
      <c r="AK12" s="14">
        <v>45616</v>
      </c>
      <c r="AL12" s="30">
        <f t="shared" si="10"/>
        <v>9</v>
      </c>
      <c r="AM12" s="14">
        <v>45622</v>
      </c>
      <c r="AN12" s="14">
        <v>45626</v>
      </c>
      <c r="AO12" s="30">
        <f t="shared" si="11"/>
        <v>5</v>
      </c>
      <c r="AP12" s="20">
        <v>45646</v>
      </c>
      <c r="AQ12" s="17">
        <v>45657</v>
      </c>
      <c r="AR12" s="30">
        <f t="shared" si="12"/>
        <v>12</v>
      </c>
      <c r="AS12" s="14"/>
      <c r="AT12" s="14"/>
      <c r="AU12" s="30">
        <f t="shared" si="13"/>
        <v>1</v>
      </c>
      <c r="AV12" s="14"/>
      <c r="AW12" s="14"/>
      <c r="AX12" s="30">
        <f t="shared" si="14"/>
        <v>1</v>
      </c>
      <c r="AY12" s="14"/>
      <c r="AZ12" s="14"/>
      <c r="BA12" s="30">
        <f t="shared" si="15"/>
        <v>1</v>
      </c>
      <c r="BB12" s="14"/>
      <c r="BC12" s="14"/>
      <c r="BD12" s="30">
        <f t="shared" si="16"/>
        <v>1</v>
      </c>
      <c r="BE12" s="14"/>
      <c r="BF12" s="14"/>
      <c r="BG12" s="30">
        <f t="shared" si="17"/>
        <v>1</v>
      </c>
      <c r="BH12" s="14"/>
      <c r="BI12" s="14"/>
      <c r="BJ12" s="30">
        <f t="shared" si="18"/>
        <v>1</v>
      </c>
      <c r="BK12" s="14"/>
      <c r="BL12" s="14"/>
      <c r="BM12" s="30">
        <f t="shared" si="19"/>
        <v>1</v>
      </c>
      <c r="BN12" s="14"/>
      <c r="BO12" s="14"/>
      <c r="BP12" s="30">
        <f t="shared" si="20"/>
        <v>1</v>
      </c>
      <c r="BQ12" s="14"/>
      <c r="BR12" s="14"/>
      <c r="BS12" s="30">
        <f t="shared" si="21"/>
        <v>1</v>
      </c>
      <c r="BT12" s="14"/>
      <c r="BU12" s="14"/>
      <c r="BV12" s="30">
        <f t="shared" si="22"/>
        <v>1</v>
      </c>
      <c r="BW12" s="12"/>
      <c r="BX12" s="12"/>
      <c r="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CE12" s="30">
        <f t="shared" si="25"/>
        <v>1</v>
      </c>
      <c r="CF12" s="6"/>
      <c r="CG12" s="6"/>
      <c r="CH12" s="6">
        <v>14</v>
      </c>
      <c r="CI12" s="6">
        <v>12</v>
      </c>
      <c r="CJ12" s="6"/>
      <c r="CK12" s="6"/>
      <c r="CL12" s="6">
        <v>2025</v>
      </c>
      <c r="CM12" s="6">
        <v>14</v>
      </c>
      <c r="CN12" s="6"/>
      <c r="CO12" s="6"/>
      <c r="CP12" s="6"/>
      <c r="CQ12" s="6"/>
    </row>
    <row r="13" spans="1:95" s="1" customFormat="1" ht="14" x14ac:dyDescent="0.3">
      <c r="A13" s="36" t="s">
        <v>21</v>
      </c>
      <c r="B13" s="13">
        <v>45431</v>
      </c>
      <c r="C13" s="14">
        <v>45436</v>
      </c>
      <c r="D13" s="14">
        <v>45449</v>
      </c>
      <c r="E13" s="15">
        <f t="shared" si="26"/>
        <v>14</v>
      </c>
      <c r="F13" s="14">
        <v>45456</v>
      </c>
      <c r="G13" s="14">
        <v>45466</v>
      </c>
      <c r="H13" s="15">
        <f t="shared" si="0"/>
        <v>11</v>
      </c>
      <c r="I13" s="14">
        <v>45483</v>
      </c>
      <c r="J13" s="14">
        <v>45489</v>
      </c>
      <c r="K13" s="15">
        <f t="shared" si="1"/>
        <v>7</v>
      </c>
      <c r="L13" s="14">
        <v>45498</v>
      </c>
      <c r="M13" s="14">
        <v>45501</v>
      </c>
      <c r="N13" s="16">
        <f t="shared" si="2"/>
        <v>4</v>
      </c>
      <c r="O13" s="14">
        <v>45510</v>
      </c>
      <c r="P13" s="14">
        <v>45514</v>
      </c>
      <c r="Q13" s="16">
        <f t="shared" si="3"/>
        <v>5</v>
      </c>
      <c r="R13" s="14">
        <v>45524</v>
      </c>
      <c r="S13" s="14">
        <v>45530</v>
      </c>
      <c r="T13" s="30">
        <f t="shared" si="4"/>
        <v>7</v>
      </c>
      <c r="U13" s="14">
        <v>45535</v>
      </c>
      <c r="V13" s="14">
        <v>45541</v>
      </c>
      <c r="W13" s="30">
        <f t="shared" si="5"/>
        <v>7</v>
      </c>
      <c r="X13" s="14">
        <v>45542</v>
      </c>
      <c r="Y13" s="14">
        <v>45548</v>
      </c>
      <c r="Z13" s="30">
        <f t="shared" si="6"/>
        <v>7</v>
      </c>
      <c r="AA13" s="14">
        <v>45553</v>
      </c>
      <c r="AB13" s="14">
        <v>45562</v>
      </c>
      <c r="AC13" s="30">
        <f t="shared" si="7"/>
        <v>10</v>
      </c>
      <c r="AD13" s="14">
        <v>45563</v>
      </c>
      <c r="AE13" s="14">
        <v>45568</v>
      </c>
      <c r="AF13" s="30">
        <f t="shared" si="8"/>
        <v>6</v>
      </c>
      <c r="AG13" s="14">
        <v>45576</v>
      </c>
      <c r="AH13" s="14">
        <v>45583</v>
      </c>
      <c r="AI13" s="30">
        <f t="shared" si="9"/>
        <v>8</v>
      </c>
      <c r="AJ13" s="14">
        <v>45584</v>
      </c>
      <c r="AK13" s="14">
        <v>45597</v>
      </c>
      <c r="AL13" s="30">
        <f t="shared" si="10"/>
        <v>14</v>
      </c>
      <c r="AM13" s="14">
        <v>45600</v>
      </c>
      <c r="AN13" s="14">
        <v>45609</v>
      </c>
      <c r="AO13" s="30">
        <f t="shared" si="11"/>
        <v>10</v>
      </c>
      <c r="AP13" s="14">
        <v>45617</v>
      </c>
      <c r="AQ13" s="14">
        <v>45622</v>
      </c>
      <c r="AR13" s="30">
        <f t="shared" si="12"/>
        <v>6</v>
      </c>
      <c r="AS13" s="17">
        <v>45657</v>
      </c>
      <c r="AT13" s="17">
        <v>45657</v>
      </c>
      <c r="AU13" s="30">
        <f t="shared" si="13"/>
        <v>1</v>
      </c>
      <c r="AV13" s="14"/>
      <c r="AW13" s="14"/>
      <c r="AX13" s="30">
        <f t="shared" si="14"/>
        <v>1</v>
      </c>
      <c r="AY13" s="14"/>
      <c r="AZ13" s="14"/>
      <c r="BA13" s="30">
        <f t="shared" si="15"/>
        <v>1</v>
      </c>
      <c r="BB13" s="14"/>
      <c r="BC13" s="14"/>
      <c r="BD13" s="30">
        <f t="shared" si="16"/>
        <v>1</v>
      </c>
      <c r="BE13" s="14"/>
      <c r="BF13" s="14"/>
      <c r="BG13" s="30">
        <f t="shared" si="17"/>
        <v>1</v>
      </c>
      <c r="BH13" s="14"/>
      <c r="BI13" s="14"/>
      <c r="BJ13" s="30">
        <f t="shared" si="18"/>
        <v>1</v>
      </c>
      <c r="BK13" s="14"/>
      <c r="BL13" s="14"/>
      <c r="BM13" s="30">
        <f t="shared" si="19"/>
        <v>1</v>
      </c>
      <c r="BN13" s="14"/>
      <c r="BO13" s="14"/>
      <c r="BP13" s="30">
        <f t="shared" si="20"/>
        <v>1</v>
      </c>
      <c r="BQ13" s="14"/>
      <c r="BR13" s="14"/>
      <c r="BS13" s="30">
        <f t="shared" si="21"/>
        <v>1</v>
      </c>
      <c r="BT13" s="14"/>
      <c r="BU13" s="14"/>
      <c r="BV13" s="30">
        <f t="shared" si="22"/>
        <v>1</v>
      </c>
      <c r="BW13" s="12"/>
      <c r="BX13" s="12"/>
      <c r="BY13" s="30">
        <f t="shared" si="23"/>
        <v>1</v>
      </c>
      <c r="BZ13" s="14"/>
      <c r="CA13" s="14"/>
      <c r="CB13" s="30">
        <f t="shared" si="24"/>
        <v>1</v>
      </c>
      <c r="CC13" s="14"/>
      <c r="CD13" s="14"/>
      <c r="CE13" s="30">
        <f t="shared" si="25"/>
        <v>1</v>
      </c>
      <c r="CF13" s="6"/>
      <c r="CG13" s="6"/>
      <c r="CH13" s="6"/>
      <c r="CI13" s="6">
        <v>215</v>
      </c>
      <c r="CJ13" s="44">
        <f>CI13/16</f>
        <v>13.4375</v>
      </c>
      <c r="CK13" s="6"/>
      <c r="CL13" s="6"/>
      <c r="CM13" s="6"/>
      <c r="CN13" s="6"/>
      <c r="CO13" s="6"/>
      <c r="CP13" s="6"/>
      <c r="CQ13" s="6"/>
    </row>
    <row r="14" spans="1:95" s="1" customFormat="1" ht="14" x14ac:dyDescent="0.3">
      <c r="A14" s="36" t="s">
        <v>17</v>
      </c>
      <c r="B14" s="13">
        <v>45435</v>
      </c>
      <c r="C14" s="14">
        <v>45441</v>
      </c>
      <c r="D14" s="14">
        <v>45444</v>
      </c>
      <c r="E14" s="15">
        <f t="shared" si="26"/>
        <v>4</v>
      </c>
      <c r="F14" s="14">
        <v>45447</v>
      </c>
      <c r="G14" s="14">
        <v>45449</v>
      </c>
      <c r="H14" s="15">
        <f>(G14-F14)+1</f>
        <v>3</v>
      </c>
      <c r="I14" s="14">
        <v>45464</v>
      </c>
      <c r="J14" s="14">
        <v>45465</v>
      </c>
      <c r="K14" s="15">
        <f t="shared" si="1"/>
        <v>2</v>
      </c>
      <c r="L14" s="14">
        <v>45474</v>
      </c>
      <c r="M14" s="14">
        <v>45474</v>
      </c>
      <c r="N14" s="16">
        <f t="shared" si="2"/>
        <v>1</v>
      </c>
      <c r="O14" s="14">
        <v>45484</v>
      </c>
      <c r="P14" s="14">
        <v>45484</v>
      </c>
      <c r="Q14" s="16">
        <f t="shared" si="3"/>
        <v>1</v>
      </c>
      <c r="R14" s="14">
        <v>45492</v>
      </c>
      <c r="S14" s="14">
        <v>45493</v>
      </c>
      <c r="T14" s="30">
        <f t="shared" si="4"/>
        <v>2</v>
      </c>
      <c r="U14" s="14">
        <v>45502</v>
      </c>
      <c r="V14" s="14">
        <v>45502</v>
      </c>
      <c r="W14" s="30">
        <f t="shared" si="5"/>
        <v>1</v>
      </c>
      <c r="X14" s="14">
        <v>45509</v>
      </c>
      <c r="Y14" s="14">
        <v>45509</v>
      </c>
      <c r="Z14" s="30">
        <f t="shared" si="6"/>
        <v>1</v>
      </c>
      <c r="AA14" s="14">
        <v>45516</v>
      </c>
      <c r="AB14" s="14">
        <v>45516</v>
      </c>
      <c r="AC14" s="30">
        <f t="shared" si="7"/>
        <v>1</v>
      </c>
      <c r="AD14" s="14">
        <v>45523</v>
      </c>
      <c r="AE14" s="14">
        <v>45523</v>
      </c>
      <c r="AF14" s="30">
        <f t="shared" si="8"/>
        <v>1</v>
      </c>
      <c r="AG14" s="14">
        <v>45530</v>
      </c>
      <c r="AH14" s="14">
        <v>45530</v>
      </c>
      <c r="AI14" s="30">
        <f t="shared" si="9"/>
        <v>1</v>
      </c>
      <c r="AJ14" s="14">
        <v>45537</v>
      </c>
      <c r="AK14" s="14">
        <v>45537</v>
      </c>
      <c r="AL14" s="30">
        <f t="shared" si="10"/>
        <v>1</v>
      </c>
      <c r="AM14" s="14">
        <v>45545</v>
      </c>
      <c r="AN14" s="14">
        <v>45545</v>
      </c>
      <c r="AO14" s="30">
        <f t="shared" si="11"/>
        <v>1</v>
      </c>
      <c r="AP14" s="14">
        <v>45551</v>
      </c>
      <c r="AQ14" s="14">
        <v>45551</v>
      </c>
      <c r="AR14" s="30">
        <f t="shared" si="12"/>
        <v>1</v>
      </c>
      <c r="AS14" s="14">
        <v>45556</v>
      </c>
      <c r="AT14" s="14">
        <v>45556</v>
      </c>
      <c r="AU14" s="30">
        <f t="shared" si="13"/>
        <v>1</v>
      </c>
      <c r="AV14" s="14">
        <v>45560</v>
      </c>
      <c r="AW14" s="14">
        <v>45560</v>
      </c>
      <c r="AX14" s="30">
        <f t="shared" si="14"/>
        <v>1</v>
      </c>
      <c r="AY14" s="14">
        <v>45565</v>
      </c>
      <c r="AZ14" s="14">
        <v>45566</v>
      </c>
      <c r="BA14" s="30">
        <f t="shared" si="15"/>
        <v>2</v>
      </c>
      <c r="BB14" s="14">
        <v>45573</v>
      </c>
      <c r="BC14" s="14">
        <v>45573</v>
      </c>
      <c r="BD14" s="30">
        <f t="shared" si="16"/>
        <v>1</v>
      </c>
      <c r="BE14" s="14">
        <v>45581</v>
      </c>
      <c r="BF14" s="14">
        <v>45581</v>
      </c>
      <c r="BG14" s="30">
        <f t="shared" si="17"/>
        <v>1</v>
      </c>
      <c r="BH14" s="14">
        <v>45588</v>
      </c>
      <c r="BI14" s="14">
        <v>45588</v>
      </c>
      <c r="BJ14" s="30">
        <f t="shared" si="18"/>
        <v>1</v>
      </c>
      <c r="BK14" s="14">
        <v>45594</v>
      </c>
      <c r="BL14" s="14">
        <v>45594</v>
      </c>
      <c r="BM14" s="30">
        <f t="shared" si="19"/>
        <v>1</v>
      </c>
      <c r="BN14" s="14">
        <v>45602</v>
      </c>
      <c r="BO14" s="14">
        <v>45602</v>
      </c>
      <c r="BP14" s="30">
        <f t="shared" si="20"/>
        <v>1</v>
      </c>
      <c r="BQ14" s="14">
        <v>45609</v>
      </c>
      <c r="BR14" s="14">
        <v>45609</v>
      </c>
      <c r="BS14" s="30">
        <f t="shared" si="21"/>
        <v>1</v>
      </c>
      <c r="BT14" s="14">
        <v>45616</v>
      </c>
      <c r="BU14" s="14">
        <v>45616</v>
      </c>
      <c r="BV14" s="30">
        <f t="shared" si="22"/>
        <v>1</v>
      </c>
      <c r="BW14" s="14">
        <v>45624</v>
      </c>
      <c r="BX14" s="14">
        <v>45624</v>
      </c>
      <c r="BY14" s="30">
        <f t="shared" si="23"/>
        <v>1</v>
      </c>
      <c r="BZ14" s="14">
        <v>45637</v>
      </c>
      <c r="CA14" s="14">
        <v>45637</v>
      </c>
      <c r="CB14" s="30">
        <f t="shared" si="24"/>
        <v>1</v>
      </c>
      <c r="CC14" s="17">
        <v>45657</v>
      </c>
      <c r="CD14" s="17">
        <v>45657</v>
      </c>
      <c r="CE14" s="30">
        <f t="shared" si="25"/>
        <v>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</row>
    <row r="15" spans="1:95" s="1" customFormat="1" ht="14" x14ac:dyDescent="0.3">
      <c r="A15" s="36" t="s">
        <v>12</v>
      </c>
      <c r="B15" s="13">
        <v>45435</v>
      </c>
      <c r="C15" s="14">
        <v>45443</v>
      </c>
      <c r="D15" s="14">
        <v>45448</v>
      </c>
      <c r="E15" s="15">
        <f t="shared" si="26"/>
        <v>6</v>
      </c>
      <c r="F15" s="14">
        <v>45449</v>
      </c>
      <c r="G15" s="14">
        <v>45457</v>
      </c>
      <c r="H15" s="15">
        <f>(G15-F15)+1</f>
        <v>9</v>
      </c>
      <c r="I15" s="14">
        <v>45474</v>
      </c>
      <c r="J15" s="14">
        <v>45484</v>
      </c>
      <c r="K15" s="15">
        <f t="shared" si="1"/>
        <v>11</v>
      </c>
      <c r="L15" s="14">
        <v>45491</v>
      </c>
      <c r="M15" s="14">
        <v>45498</v>
      </c>
      <c r="N15" s="16">
        <f t="shared" si="2"/>
        <v>8</v>
      </c>
      <c r="O15" s="14">
        <v>45509</v>
      </c>
      <c r="P15" s="14">
        <v>45514</v>
      </c>
      <c r="Q15" s="16">
        <f t="shared" si="3"/>
        <v>6</v>
      </c>
      <c r="R15" s="14">
        <v>45525</v>
      </c>
      <c r="S15" s="14">
        <v>45531</v>
      </c>
      <c r="T15" s="30">
        <f t="shared" si="4"/>
        <v>7</v>
      </c>
      <c r="U15" s="14">
        <v>45538</v>
      </c>
      <c r="V15" s="14">
        <v>45546</v>
      </c>
      <c r="W15" s="30">
        <f t="shared" si="5"/>
        <v>9</v>
      </c>
      <c r="X15" s="14">
        <v>45558</v>
      </c>
      <c r="Y15" s="14">
        <v>45566</v>
      </c>
      <c r="Z15" s="30">
        <f t="shared" si="6"/>
        <v>9</v>
      </c>
      <c r="AA15" s="14">
        <v>45573</v>
      </c>
      <c r="AB15" s="14">
        <v>45584</v>
      </c>
      <c r="AC15" s="30">
        <f t="shared" si="7"/>
        <v>12</v>
      </c>
      <c r="AD15" s="14">
        <v>45586</v>
      </c>
      <c r="AE15" s="14">
        <v>45588</v>
      </c>
      <c r="AF15" s="30">
        <f t="shared" si="8"/>
        <v>3</v>
      </c>
      <c r="AG15" s="14">
        <v>45596</v>
      </c>
      <c r="AH15" s="14">
        <v>45603</v>
      </c>
      <c r="AI15" s="30">
        <f t="shared" si="9"/>
        <v>8</v>
      </c>
      <c r="AJ15" s="14">
        <v>45611</v>
      </c>
      <c r="AK15" s="14">
        <v>45615</v>
      </c>
      <c r="AL15" s="30">
        <f t="shared" si="10"/>
        <v>5</v>
      </c>
      <c r="AM15" s="14">
        <v>45622</v>
      </c>
      <c r="AN15" s="14">
        <v>45630</v>
      </c>
      <c r="AO15" s="30">
        <f t="shared" si="11"/>
        <v>9</v>
      </c>
      <c r="AP15" s="17">
        <v>45657</v>
      </c>
      <c r="AQ15" s="17">
        <v>45657</v>
      </c>
      <c r="AR15" s="30">
        <f t="shared" si="12"/>
        <v>1</v>
      </c>
      <c r="AS15" s="14"/>
      <c r="AT15" s="14"/>
      <c r="AU15" s="30">
        <f t="shared" si="13"/>
        <v>1</v>
      </c>
      <c r="AV15" s="14"/>
      <c r="AW15" s="14"/>
      <c r="AX15" s="30">
        <f t="shared" si="14"/>
        <v>1</v>
      </c>
      <c r="AY15" s="14"/>
      <c r="AZ15" s="14"/>
      <c r="BA15" s="30">
        <f t="shared" si="15"/>
        <v>1</v>
      </c>
      <c r="BB15" s="14"/>
      <c r="BC15" s="14"/>
      <c r="BD15" s="30">
        <f t="shared" si="16"/>
        <v>1</v>
      </c>
      <c r="BE15" s="14"/>
      <c r="BF15" s="14"/>
      <c r="BG15" s="30">
        <f t="shared" si="17"/>
        <v>1</v>
      </c>
      <c r="BH15" s="14"/>
      <c r="BI15" s="14"/>
      <c r="BJ15" s="30">
        <f t="shared" si="18"/>
        <v>1</v>
      </c>
      <c r="BK15" s="14"/>
      <c r="BL15" s="14"/>
      <c r="BM15" s="30">
        <f t="shared" si="19"/>
        <v>1</v>
      </c>
      <c r="BN15" s="14"/>
      <c r="BO15" s="14"/>
      <c r="BP15" s="30">
        <f t="shared" si="20"/>
        <v>1</v>
      </c>
      <c r="BQ15" s="14"/>
      <c r="BR15" s="14"/>
      <c r="BS15" s="30">
        <f t="shared" si="21"/>
        <v>1</v>
      </c>
      <c r="BT15" s="14"/>
      <c r="BU15" s="14"/>
      <c r="BV15" s="30">
        <f t="shared" si="22"/>
        <v>1</v>
      </c>
      <c r="BW15" s="14"/>
      <c r="BX15" s="14"/>
      <c r="BY15" s="30">
        <f t="shared" si="23"/>
        <v>1</v>
      </c>
      <c r="BZ15" s="14"/>
      <c r="CA15" s="14"/>
      <c r="CB15" s="30">
        <f t="shared" si="24"/>
        <v>1</v>
      </c>
      <c r="CC15" s="14"/>
      <c r="CD15" s="14"/>
      <c r="CE15" s="30">
        <f t="shared" si="25"/>
        <v>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</row>
    <row r="16" spans="1:95" s="1" customFormat="1" ht="14" x14ac:dyDescent="0.3">
      <c r="A16" s="38" t="s">
        <v>33</v>
      </c>
      <c r="B16" s="21">
        <v>45443</v>
      </c>
      <c r="C16" s="14">
        <v>45447</v>
      </c>
      <c r="D16" s="14">
        <v>45456</v>
      </c>
      <c r="E16" s="15">
        <f t="shared" si="26"/>
        <v>10</v>
      </c>
      <c r="F16" s="14">
        <v>45458</v>
      </c>
      <c r="G16" s="14">
        <v>45469</v>
      </c>
      <c r="H16" s="15">
        <f>(G16-F16)+1</f>
        <v>12</v>
      </c>
      <c r="I16" s="14">
        <v>45482</v>
      </c>
      <c r="J16" s="14">
        <v>45489</v>
      </c>
      <c r="K16" s="15">
        <f t="shared" si="1"/>
        <v>8</v>
      </c>
      <c r="L16" s="14">
        <v>45503</v>
      </c>
      <c r="M16" s="14">
        <v>45510</v>
      </c>
      <c r="N16" s="16">
        <f t="shared" si="2"/>
        <v>8</v>
      </c>
      <c r="O16" s="14">
        <v>45517</v>
      </c>
      <c r="P16" s="14">
        <v>45522</v>
      </c>
      <c r="Q16" s="16">
        <f t="shared" si="3"/>
        <v>6</v>
      </c>
      <c r="R16" s="14">
        <v>45530</v>
      </c>
      <c r="S16" s="14">
        <v>45534</v>
      </c>
      <c r="T16" s="30">
        <f t="shared" si="4"/>
        <v>5</v>
      </c>
      <c r="U16" s="14">
        <v>45540</v>
      </c>
      <c r="V16" s="14">
        <v>45548</v>
      </c>
      <c r="W16" s="30">
        <f t="shared" si="5"/>
        <v>9</v>
      </c>
      <c r="X16" s="14">
        <v>45555</v>
      </c>
      <c r="Y16" s="14">
        <v>45562</v>
      </c>
      <c r="Z16" s="30">
        <f t="shared" si="6"/>
        <v>8</v>
      </c>
      <c r="AA16" s="14">
        <v>45566</v>
      </c>
      <c r="AB16" s="14">
        <v>45570</v>
      </c>
      <c r="AC16" s="30">
        <f t="shared" si="7"/>
        <v>5</v>
      </c>
      <c r="AD16" s="14">
        <v>45579</v>
      </c>
      <c r="AE16" s="14">
        <v>45584</v>
      </c>
      <c r="AF16" s="30">
        <f t="shared" si="8"/>
        <v>6</v>
      </c>
      <c r="AG16" s="14">
        <v>45591</v>
      </c>
      <c r="AH16" s="14">
        <v>45597</v>
      </c>
      <c r="AI16" s="30">
        <f t="shared" si="9"/>
        <v>7</v>
      </c>
      <c r="AJ16" s="14">
        <v>45604</v>
      </c>
      <c r="AK16" s="14">
        <v>45613</v>
      </c>
      <c r="AL16" s="30">
        <f t="shared" si="10"/>
        <v>10</v>
      </c>
      <c r="AM16" s="14">
        <v>45619</v>
      </c>
      <c r="AN16" s="14">
        <v>45626</v>
      </c>
      <c r="AO16" s="30">
        <f t="shared" si="11"/>
        <v>8</v>
      </c>
      <c r="AP16" s="14">
        <v>45638</v>
      </c>
      <c r="AQ16" s="17">
        <v>45657</v>
      </c>
      <c r="AR16" s="30">
        <f t="shared" si="12"/>
        <v>20</v>
      </c>
      <c r="AS16" s="14"/>
      <c r="AT16" s="14"/>
      <c r="AU16" s="30">
        <f t="shared" si="13"/>
        <v>1</v>
      </c>
      <c r="AV16" s="14"/>
      <c r="AW16" s="14"/>
      <c r="AX16" s="30">
        <f t="shared" si="14"/>
        <v>1</v>
      </c>
      <c r="AY16" s="14"/>
      <c r="AZ16" s="14"/>
      <c r="BA16" s="30">
        <f t="shared" si="15"/>
        <v>1</v>
      </c>
      <c r="BB16" s="14"/>
      <c r="BC16" s="14"/>
      <c r="BD16" s="30">
        <f t="shared" si="16"/>
        <v>1</v>
      </c>
      <c r="BE16" s="14"/>
      <c r="BF16" s="14"/>
      <c r="BG16" s="30">
        <f t="shared" si="17"/>
        <v>1</v>
      </c>
      <c r="BH16" s="14"/>
      <c r="BI16" s="14"/>
      <c r="BJ16" s="30">
        <f t="shared" si="18"/>
        <v>1</v>
      </c>
      <c r="BK16" s="14"/>
      <c r="BL16" s="14"/>
      <c r="BM16" s="30">
        <f t="shared" si="19"/>
        <v>1</v>
      </c>
      <c r="BN16" s="14"/>
      <c r="BO16" s="14"/>
      <c r="BP16" s="30">
        <f t="shared" si="20"/>
        <v>1</v>
      </c>
      <c r="BQ16" s="14"/>
      <c r="BR16" s="14"/>
      <c r="BS16" s="30">
        <f t="shared" si="21"/>
        <v>1</v>
      </c>
      <c r="BT16" s="14"/>
      <c r="BU16" s="14"/>
      <c r="BV16" s="30">
        <f t="shared" si="22"/>
        <v>1</v>
      </c>
      <c r="BW16" s="14"/>
      <c r="BX16" s="14"/>
      <c r="BY16" s="30">
        <f t="shared" si="23"/>
        <v>1</v>
      </c>
      <c r="BZ16" s="14"/>
      <c r="CA16" s="14"/>
      <c r="CB16" s="30">
        <f t="shared" si="24"/>
        <v>1</v>
      </c>
      <c r="CC16" s="14"/>
      <c r="CD16" s="14"/>
      <c r="CE16" s="30">
        <f t="shared" si="25"/>
        <v>1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</row>
    <row r="17" spans="1:95" s="1" customFormat="1" ht="14" x14ac:dyDescent="0.3">
      <c r="A17" s="38" t="s">
        <v>38</v>
      </c>
      <c r="B17" s="21">
        <v>45446</v>
      </c>
      <c r="C17" s="14">
        <v>45453</v>
      </c>
      <c r="D17" s="14">
        <v>45470</v>
      </c>
      <c r="E17" s="15">
        <f t="shared" si="26"/>
        <v>18</v>
      </c>
      <c r="F17" s="14">
        <v>45470</v>
      </c>
      <c r="G17" s="14">
        <v>45476</v>
      </c>
      <c r="H17" s="15">
        <f t="shared" ref="H17:H48" si="27">(G17-F17)+1</f>
        <v>7</v>
      </c>
      <c r="I17" s="14">
        <v>45490</v>
      </c>
      <c r="J17" s="14">
        <v>45497</v>
      </c>
      <c r="K17" s="15">
        <f t="shared" si="1"/>
        <v>8</v>
      </c>
      <c r="L17" s="14">
        <v>45502</v>
      </c>
      <c r="M17" s="14">
        <v>45507</v>
      </c>
      <c r="N17" s="16">
        <f t="shared" si="2"/>
        <v>6</v>
      </c>
      <c r="O17" s="14">
        <v>45514</v>
      </c>
      <c r="P17" s="14">
        <v>45518</v>
      </c>
      <c r="Q17" s="16">
        <f t="shared" si="3"/>
        <v>5</v>
      </c>
      <c r="R17" s="14">
        <v>45526</v>
      </c>
      <c r="S17" s="14">
        <v>45538</v>
      </c>
      <c r="T17" s="30">
        <f t="shared" si="4"/>
        <v>13</v>
      </c>
      <c r="U17" s="14">
        <v>45539</v>
      </c>
      <c r="V17" s="14">
        <v>45549</v>
      </c>
      <c r="W17" s="30">
        <f t="shared" si="5"/>
        <v>11</v>
      </c>
      <c r="X17" s="14">
        <v>45558</v>
      </c>
      <c r="Y17" s="14">
        <v>45567</v>
      </c>
      <c r="Z17" s="30">
        <f t="shared" si="6"/>
        <v>10</v>
      </c>
      <c r="AA17" s="14">
        <v>45569</v>
      </c>
      <c r="AB17" s="14">
        <v>45579</v>
      </c>
      <c r="AC17" s="30">
        <f t="shared" si="7"/>
        <v>11</v>
      </c>
      <c r="AD17" s="14">
        <v>45586</v>
      </c>
      <c r="AE17" s="14">
        <v>45595</v>
      </c>
      <c r="AF17" s="30">
        <f t="shared" si="8"/>
        <v>10</v>
      </c>
      <c r="AG17" s="14">
        <v>45597</v>
      </c>
      <c r="AH17" s="14">
        <v>45605</v>
      </c>
      <c r="AI17" s="30">
        <f t="shared" si="9"/>
        <v>9</v>
      </c>
      <c r="AJ17" s="14">
        <v>45610</v>
      </c>
      <c r="AK17" s="14">
        <v>45617</v>
      </c>
      <c r="AL17" s="30">
        <f t="shared" si="10"/>
        <v>8</v>
      </c>
      <c r="AM17" s="14">
        <v>45618</v>
      </c>
      <c r="AN17" s="17">
        <v>45657</v>
      </c>
      <c r="AO17" s="30">
        <f t="shared" si="11"/>
        <v>40</v>
      </c>
      <c r="AP17" s="14"/>
      <c r="AQ17" s="14"/>
      <c r="AR17" s="30">
        <f t="shared" si="12"/>
        <v>1</v>
      </c>
      <c r="AS17" s="14"/>
      <c r="AT17" s="14"/>
      <c r="AU17" s="30">
        <f t="shared" si="13"/>
        <v>1</v>
      </c>
      <c r="AV17" s="14"/>
      <c r="AW17" s="14"/>
      <c r="AX17" s="30">
        <f t="shared" si="14"/>
        <v>1</v>
      </c>
      <c r="AY17" s="14"/>
      <c r="AZ17" s="14"/>
      <c r="BA17" s="30">
        <f t="shared" si="15"/>
        <v>1</v>
      </c>
      <c r="BB17" s="14"/>
      <c r="BC17" s="14"/>
      <c r="BD17" s="30">
        <f t="shared" si="16"/>
        <v>1</v>
      </c>
      <c r="BE17" s="14"/>
      <c r="BF17" s="14"/>
      <c r="BG17" s="30">
        <f t="shared" si="17"/>
        <v>1</v>
      </c>
      <c r="BH17" s="14"/>
      <c r="BI17" s="14"/>
      <c r="BJ17" s="30">
        <f t="shared" si="18"/>
        <v>1</v>
      </c>
      <c r="BK17" s="14"/>
      <c r="BL17" s="14"/>
      <c r="BM17" s="30">
        <f t="shared" si="19"/>
        <v>1</v>
      </c>
      <c r="BN17" s="14"/>
      <c r="BO17" s="14"/>
      <c r="BP17" s="30">
        <f t="shared" si="20"/>
        <v>1</v>
      </c>
      <c r="BQ17" s="14"/>
      <c r="BR17" s="14"/>
      <c r="BS17" s="30">
        <f t="shared" si="21"/>
        <v>1</v>
      </c>
      <c r="BT17" s="14"/>
      <c r="BU17" s="14"/>
      <c r="BV17" s="30">
        <f t="shared" si="22"/>
        <v>1</v>
      </c>
      <c r="BW17" s="14"/>
      <c r="BX17" s="14"/>
      <c r="BY17" s="30">
        <f t="shared" si="23"/>
        <v>1</v>
      </c>
      <c r="BZ17" s="14"/>
      <c r="CA17" s="14"/>
      <c r="CB17" s="30">
        <f t="shared" si="24"/>
        <v>1</v>
      </c>
      <c r="CC17" s="14"/>
      <c r="CD17" s="14"/>
      <c r="CE17" s="30">
        <f t="shared" si="25"/>
        <v>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</row>
    <row r="18" spans="1:95" s="1" customFormat="1" ht="14" x14ac:dyDescent="0.3">
      <c r="A18" s="36" t="s">
        <v>20</v>
      </c>
      <c r="B18" s="13">
        <v>45453</v>
      </c>
      <c r="C18" s="14">
        <v>45465</v>
      </c>
      <c r="D18" s="14">
        <v>45470</v>
      </c>
      <c r="E18" s="15">
        <f t="shared" si="26"/>
        <v>6</v>
      </c>
      <c r="F18" s="14">
        <v>45472</v>
      </c>
      <c r="G18" s="14">
        <v>45476</v>
      </c>
      <c r="H18" s="15">
        <f t="shared" si="27"/>
        <v>5</v>
      </c>
      <c r="I18" s="14">
        <v>45491</v>
      </c>
      <c r="J18" s="14">
        <v>45502</v>
      </c>
      <c r="K18" s="15">
        <f t="shared" si="1"/>
        <v>12</v>
      </c>
      <c r="L18" s="14">
        <v>45510</v>
      </c>
      <c r="M18" s="14">
        <v>45517</v>
      </c>
      <c r="N18" s="16">
        <f t="shared" si="2"/>
        <v>8</v>
      </c>
      <c r="O18" s="14">
        <v>45525</v>
      </c>
      <c r="P18" s="14">
        <v>45527</v>
      </c>
      <c r="Q18" s="16">
        <f t="shared" si="3"/>
        <v>3</v>
      </c>
      <c r="R18" s="14">
        <v>45535</v>
      </c>
      <c r="S18" s="14">
        <v>45540</v>
      </c>
      <c r="T18" s="30">
        <f t="shared" si="4"/>
        <v>6</v>
      </c>
      <c r="U18" s="14">
        <v>45549</v>
      </c>
      <c r="V18" s="14">
        <v>45554</v>
      </c>
      <c r="W18" s="30">
        <f t="shared" si="5"/>
        <v>6</v>
      </c>
      <c r="X18" s="14">
        <v>45563</v>
      </c>
      <c r="Y18" s="14">
        <v>45575</v>
      </c>
      <c r="Z18" s="30">
        <f t="shared" si="6"/>
        <v>13</v>
      </c>
      <c r="AA18" s="14">
        <v>45575</v>
      </c>
      <c r="AB18" s="14">
        <v>45576</v>
      </c>
      <c r="AC18" s="30">
        <f t="shared" si="7"/>
        <v>2</v>
      </c>
      <c r="AD18" s="14">
        <v>45584</v>
      </c>
      <c r="AE18" s="14">
        <v>45588</v>
      </c>
      <c r="AF18" s="30">
        <f t="shared" si="8"/>
        <v>5</v>
      </c>
      <c r="AG18" s="14">
        <v>45598</v>
      </c>
      <c r="AH18" s="14">
        <v>45604</v>
      </c>
      <c r="AI18" s="30">
        <f t="shared" si="9"/>
        <v>7</v>
      </c>
      <c r="AJ18" s="14">
        <v>45614</v>
      </c>
      <c r="AK18" s="14">
        <v>45618</v>
      </c>
      <c r="AL18" s="30">
        <f t="shared" si="10"/>
        <v>5</v>
      </c>
      <c r="AM18" s="14">
        <v>45628</v>
      </c>
      <c r="AN18" s="14">
        <v>45637</v>
      </c>
      <c r="AO18" s="30">
        <f t="shared" si="11"/>
        <v>10</v>
      </c>
      <c r="AP18" s="14">
        <v>45655</v>
      </c>
      <c r="AQ18" s="17">
        <v>45657</v>
      </c>
      <c r="AR18" s="30">
        <f t="shared" si="12"/>
        <v>3</v>
      </c>
      <c r="AS18" s="14"/>
      <c r="AT18" s="14"/>
      <c r="AU18" s="30">
        <f t="shared" si="13"/>
        <v>1</v>
      </c>
      <c r="AV18" s="14"/>
      <c r="AW18" s="14"/>
      <c r="AX18" s="30">
        <f t="shared" si="14"/>
        <v>1</v>
      </c>
      <c r="AY18" s="14"/>
      <c r="AZ18" s="14"/>
      <c r="BA18" s="30">
        <f t="shared" si="15"/>
        <v>1</v>
      </c>
      <c r="BB18" s="14"/>
      <c r="BC18" s="14"/>
      <c r="BD18" s="30">
        <f t="shared" si="16"/>
        <v>1</v>
      </c>
      <c r="BE18" s="14"/>
      <c r="BF18" s="14"/>
      <c r="BG18" s="30">
        <f t="shared" si="17"/>
        <v>1</v>
      </c>
      <c r="BH18" s="14"/>
      <c r="BI18" s="14"/>
      <c r="BJ18" s="30">
        <f t="shared" si="18"/>
        <v>1</v>
      </c>
      <c r="BK18" s="14"/>
      <c r="BL18" s="14"/>
      <c r="BM18" s="30">
        <f t="shared" si="19"/>
        <v>1</v>
      </c>
      <c r="BN18" s="14"/>
      <c r="BO18" s="14"/>
      <c r="BP18" s="30">
        <f t="shared" si="20"/>
        <v>1</v>
      </c>
      <c r="BQ18" s="14"/>
      <c r="BR18" s="14"/>
      <c r="BS18" s="30">
        <f t="shared" si="21"/>
        <v>1</v>
      </c>
      <c r="BT18" s="14"/>
      <c r="BU18" s="14"/>
      <c r="BV18" s="30">
        <f t="shared" si="22"/>
        <v>1</v>
      </c>
      <c r="BW18" s="14"/>
      <c r="BX18" s="14"/>
      <c r="BY18" s="30">
        <f t="shared" si="23"/>
        <v>1</v>
      </c>
      <c r="BZ18" s="14"/>
      <c r="CA18" s="14"/>
      <c r="CB18" s="30">
        <f t="shared" si="24"/>
        <v>1</v>
      </c>
      <c r="CC18" s="14"/>
      <c r="CD18" s="14"/>
      <c r="CE18" s="30">
        <f t="shared" si="25"/>
        <v>1</v>
      </c>
      <c r="CF18" s="6"/>
      <c r="CG18" s="6"/>
      <c r="CH18" s="6"/>
      <c r="CK18" s="6"/>
      <c r="CL18" s="6"/>
      <c r="CM18" s="6"/>
      <c r="CN18" s="6"/>
      <c r="CO18" s="6"/>
      <c r="CP18" s="6"/>
      <c r="CQ18" s="6"/>
    </row>
    <row r="19" spans="1:95" s="1" customFormat="1" ht="14" x14ac:dyDescent="0.3">
      <c r="A19" s="39" t="s">
        <v>37</v>
      </c>
      <c r="B19" s="13">
        <v>45457</v>
      </c>
      <c r="C19" s="14">
        <v>45457</v>
      </c>
      <c r="D19" s="14">
        <v>45462</v>
      </c>
      <c r="E19" s="15">
        <f t="shared" si="26"/>
        <v>6</v>
      </c>
      <c r="F19" s="14">
        <v>45484</v>
      </c>
      <c r="G19" s="14">
        <v>45495</v>
      </c>
      <c r="H19" s="15">
        <f t="shared" si="27"/>
        <v>12</v>
      </c>
      <c r="I19" s="14">
        <v>45510</v>
      </c>
      <c r="J19" s="14">
        <v>45520</v>
      </c>
      <c r="K19" s="15">
        <f t="shared" si="1"/>
        <v>11</v>
      </c>
      <c r="L19" s="14">
        <v>45531</v>
      </c>
      <c r="M19" s="14">
        <v>45539</v>
      </c>
      <c r="N19" s="16">
        <f t="shared" si="2"/>
        <v>9</v>
      </c>
      <c r="O19" s="14">
        <v>45549</v>
      </c>
      <c r="P19" s="14">
        <v>45555</v>
      </c>
      <c r="Q19" s="16">
        <f t="shared" si="3"/>
        <v>7</v>
      </c>
      <c r="R19" s="14">
        <v>45570</v>
      </c>
      <c r="S19" s="14">
        <v>45578</v>
      </c>
      <c r="T19" s="30">
        <f t="shared" si="4"/>
        <v>9</v>
      </c>
      <c r="U19" s="14">
        <v>45584</v>
      </c>
      <c r="V19" s="14">
        <v>45595</v>
      </c>
      <c r="W19" s="30">
        <f t="shared" si="5"/>
        <v>12</v>
      </c>
      <c r="X19" s="14">
        <v>45604</v>
      </c>
      <c r="Y19" s="14">
        <v>45608</v>
      </c>
      <c r="Z19" s="30">
        <f t="shared" si="6"/>
        <v>5</v>
      </c>
      <c r="AA19" s="14">
        <v>45617</v>
      </c>
      <c r="AB19" s="14">
        <v>45621</v>
      </c>
      <c r="AC19" s="30">
        <f t="shared" si="7"/>
        <v>5</v>
      </c>
      <c r="AD19" s="17">
        <v>45657</v>
      </c>
      <c r="AE19" s="17">
        <v>45657</v>
      </c>
      <c r="AF19" s="30">
        <f t="shared" si="8"/>
        <v>1</v>
      </c>
      <c r="AG19" s="14"/>
      <c r="AH19" s="14"/>
      <c r="AI19" s="30">
        <f t="shared" si="9"/>
        <v>1</v>
      </c>
      <c r="AJ19" s="14"/>
      <c r="AK19" s="14"/>
      <c r="AL19" s="30">
        <f t="shared" si="10"/>
        <v>1</v>
      </c>
      <c r="AM19" s="14"/>
      <c r="AN19" s="14"/>
      <c r="AO19" s="30">
        <f t="shared" si="11"/>
        <v>1</v>
      </c>
      <c r="AP19" s="14"/>
      <c r="AQ19" s="14"/>
      <c r="AR19" s="30">
        <f t="shared" si="12"/>
        <v>1</v>
      </c>
      <c r="AS19" s="14"/>
      <c r="AT19" s="14"/>
      <c r="AU19" s="30">
        <f t="shared" si="13"/>
        <v>1</v>
      </c>
      <c r="AV19" s="14"/>
      <c r="AW19" s="14"/>
      <c r="AX19" s="30">
        <f t="shared" si="14"/>
        <v>1</v>
      </c>
      <c r="AY19" s="14"/>
      <c r="AZ19" s="14"/>
      <c r="BA19" s="30">
        <f t="shared" si="15"/>
        <v>1</v>
      </c>
      <c r="BB19" s="14"/>
      <c r="BC19" s="14"/>
      <c r="BD19" s="30">
        <f t="shared" si="16"/>
        <v>1</v>
      </c>
      <c r="BE19" s="14"/>
      <c r="BF19" s="14"/>
      <c r="BG19" s="30">
        <f t="shared" si="17"/>
        <v>1</v>
      </c>
      <c r="BH19" s="14"/>
      <c r="BI19" s="14"/>
      <c r="BJ19" s="30">
        <f t="shared" si="18"/>
        <v>1</v>
      </c>
      <c r="BK19" s="14"/>
      <c r="BL19" s="14"/>
      <c r="BM19" s="30">
        <f t="shared" si="19"/>
        <v>1</v>
      </c>
      <c r="BN19" s="14"/>
      <c r="BO19" s="14"/>
      <c r="BP19" s="30">
        <f t="shared" si="20"/>
        <v>1</v>
      </c>
      <c r="BQ19" s="14"/>
      <c r="BR19" s="14"/>
      <c r="BS19" s="30">
        <f t="shared" si="21"/>
        <v>1</v>
      </c>
      <c r="BT19" s="14"/>
      <c r="BU19" s="14"/>
      <c r="BV19" s="30">
        <f t="shared" si="22"/>
        <v>1</v>
      </c>
      <c r="BW19" s="14"/>
      <c r="BX19" s="14"/>
      <c r="BY19" s="30">
        <f t="shared" si="23"/>
        <v>1</v>
      </c>
      <c r="BZ19" s="14"/>
      <c r="CA19" s="14"/>
      <c r="CB19" s="30">
        <f t="shared" si="24"/>
        <v>1</v>
      </c>
      <c r="CC19" s="14"/>
      <c r="CD19" s="14"/>
      <c r="CE19" s="30">
        <f t="shared" si="25"/>
        <v>1</v>
      </c>
      <c r="CF19" s="6"/>
      <c r="CG19" s="6"/>
      <c r="CH19" s="6"/>
      <c r="CK19" s="6"/>
      <c r="CL19" s="6"/>
      <c r="CM19" s="6"/>
      <c r="CN19" s="6"/>
      <c r="CO19" s="6"/>
      <c r="CP19" s="6"/>
      <c r="CQ19" s="6"/>
    </row>
    <row r="20" spans="1:95" s="1" customFormat="1" ht="14" x14ac:dyDescent="0.3">
      <c r="A20" s="36" t="s">
        <v>40</v>
      </c>
      <c r="B20" s="13">
        <v>45460</v>
      </c>
      <c r="C20" s="14">
        <v>45468</v>
      </c>
      <c r="D20" s="14">
        <v>45478</v>
      </c>
      <c r="E20" s="15">
        <f t="shared" si="26"/>
        <v>11</v>
      </c>
      <c r="F20" s="14">
        <v>45484</v>
      </c>
      <c r="G20" s="14">
        <v>45490</v>
      </c>
      <c r="H20" s="15">
        <f t="shared" si="27"/>
        <v>7</v>
      </c>
      <c r="I20" s="14">
        <v>45497</v>
      </c>
      <c r="J20" s="14">
        <v>45504</v>
      </c>
      <c r="K20" s="15">
        <f t="shared" si="1"/>
        <v>8</v>
      </c>
      <c r="L20" s="14">
        <v>45517</v>
      </c>
      <c r="M20" s="14">
        <v>45523</v>
      </c>
      <c r="N20" s="16">
        <f t="shared" si="2"/>
        <v>7</v>
      </c>
      <c r="O20" s="14">
        <v>45528</v>
      </c>
      <c r="P20" s="14">
        <v>45535</v>
      </c>
      <c r="Q20" s="16">
        <f t="shared" si="3"/>
        <v>8</v>
      </c>
      <c r="R20" s="14">
        <v>45539</v>
      </c>
      <c r="S20" s="14">
        <v>45544</v>
      </c>
      <c r="T20" s="30">
        <f t="shared" si="4"/>
        <v>6</v>
      </c>
      <c r="U20" s="14">
        <v>45554</v>
      </c>
      <c r="V20" s="14">
        <v>45562</v>
      </c>
      <c r="W20" s="30">
        <f t="shared" si="5"/>
        <v>9</v>
      </c>
      <c r="X20" s="14">
        <v>45569</v>
      </c>
      <c r="Y20" s="14">
        <v>45576</v>
      </c>
      <c r="Z20" s="30">
        <f t="shared" si="6"/>
        <v>8</v>
      </c>
      <c r="AA20" s="14">
        <v>45581</v>
      </c>
      <c r="AB20" s="14">
        <v>45589</v>
      </c>
      <c r="AC20" s="30">
        <f t="shared" si="7"/>
        <v>9</v>
      </c>
      <c r="AD20" s="14">
        <v>45595</v>
      </c>
      <c r="AE20" s="14">
        <v>45603</v>
      </c>
      <c r="AF20" s="30">
        <f t="shared" si="8"/>
        <v>9</v>
      </c>
      <c r="AG20" s="14">
        <v>45623</v>
      </c>
      <c r="AH20" s="14">
        <v>45636</v>
      </c>
      <c r="AI20" s="30">
        <f t="shared" si="9"/>
        <v>14</v>
      </c>
      <c r="AJ20" s="17">
        <v>45657</v>
      </c>
      <c r="AK20" s="17">
        <v>45657</v>
      </c>
      <c r="AL20" s="30">
        <f t="shared" si="10"/>
        <v>1</v>
      </c>
      <c r="AM20" s="14"/>
      <c r="AN20" s="14"/>
      <c r="AO20" s="30">
        <f t="shared" si="11"/>
        <v>1</v>
      </c>
      <c r="AP20" s="14"/>
      <c r="AQ20" s="14"/>
      <c r="AR20" s="30">
        <f t="shared" si="12"/>
        <v>1</v>
      </c>
      <c r="AS20" s="14"/>
      <c r="AT20" s="14"/>
      <c r="AU20" s="30">
        <f t="shared" si="13"/>
        <v>1</v>
      </c>
      <c r="AV20" s="14"/>
      <c r="AW20" s="14"/>
      <c r="AX20" s="30">
        <f t="shared" si="14"/>
        <v>1</v>
      </c>
      <c r="AY20" s="14"/>
      <c r="AZ20" s="14"/>
      <c r="BA20" s="30">
        <f t="shared" si="15"/>
        <v>1</v>
      </c>
      <c r="BB20" s="14"/>
      <c r="BC20" s="14"/>
      <c r="BD20" s="30">
        <f t="shared" si="16"/>
        <v>1</v>
      </c>
      <c r="BE20" s="14"/>
      <c r="BF20" s="14"/>
      <c r="BG20" s="30">
        <f t="shared" si="17"/>
        <v>1</v>
      </c>
      <c r="BH20" s="14"/>
      <c r="BI20" s="14"/>
      <c r="BJ20" s="30">
        <f t="shared" si="18"/>
        <v>1</v>
      </c>
      <c r="BK20" s="14"/>
      <c r="BL20" s="14"/>
      <c r="BM20" s="30">
        <f t="shared" si="19"/>
        <v>1</v>
      </c>
      <c r="BN20" s="14"/>
      <c r="BO20" s="14"/>
      <c r="BP20" s="30">
        <f t="shared" si="20"/>
        <v>1</v>
      </c>
      <c r="BQ20" s="14"/>
      <c r="BR20" s="14"/>
      <c r="BS20" s="30">
        <f t="shared" si="21"/>
        <v>1</v>
      </c>
      <c r="BT20" s="14"/>
      <c r="BU20" s="14"/>
      <c r="BV20" s="30">
        <f t="shared" si="22"/>
        <v>1</v>
      </c>
      <c r="BW20" s="14"/>
      <c r="BX20" s="14"/>
      <c r="BY20" s="30">
        <f t="shared" si="23"/>
        <v>1</v>
      </c>
      <c r="BZ20" s="14"/>
      <c r="CA20" s="14"/>
      <c r="CB20" s="30">
        <f t="shared" si="24"/>
        <v>1</v>
      </c>
      <c r="CC20" s="14"/>
      <c r="CD20" s="14"/>
      <c r="CE20" s="30">
        <f t="shared" si="25"/>
        <v>1</v>
      </c>
      <c r="CF20" s="6"/>
      <c r="CG20" s="6"/>
      <c r="CH20" s="6"/>
      <c r="CK20" s="6"/>
      <c r="CL20" s="6"/>
      <c r="CM20" s="6"/>
      <c r="CN20" s="6"/>
      <c r="CO20" s="6"/>
      <c r="CP20" s="6"/>
      <c r="CQ20" s="6"/>
    </row>
    <row r="21" spans="1:95" s="1" customFormat="1" ht="14" x14ac:dyDescent="0.3">
      <c r="A21" s="36" t="s">
        <v>41</v>
      </c>
      <c r="B21" s="13">
        <v>45472</v>
      </c>
      <c r="C21" s="14">
        <v>45479</v>
      </c>
      <c r="D21" s="14">
        <v>45484</v>
      </c>
      <c r="E21" s="15">
        <f t="shared" si="26"/>
        <v>6</v>
      </c>
      <c r="F21" s="14">
        <v>45491</v>
      </c>
      <c r="G21" s="14">
        <v>45493</v>
      </c>
      <c r="H21" s="15">
        <f t="shared" si="27"/>
        <v>3</v>
      </c>
      <c r="I21" s="14">
        <v>45500</v>
      </c>
      <c r="J21" s="14">
        <v>45508</v>
      </c>
      <c r="K21" s="15">
        <f t="shared" si="1"/>
        <v>9</v>
      </c>
      <c r="L21" s="14">
        <v>45517</v>
      </c>
      <c r="M21" s="14">
        <v>45523</v>
      </c>
      <c r="N21" s="16">
        <f t="shared" si="2"/>
        <v>7</v>
      </c>
      <c r="O21" s="14">
        <v>45532</v>
      </c>
      <c r="P21" s="14">
        <v>45535</v>
      </c>
      <c r="Q21" s="16">
        <f t="shared" si="3"/>
        <v>4</v>
      </c>
      <c r="R21" s="14">
        <v>45554</v>
      </c>
      <c r="S21" s="14">
        <v>45556</v>
      </c>
      <c r="T21" s="30">
        <f t="shared" si="4"/>
        <v>3</v>
      </c>
      <c r="U21" s="14">
        <v>45568</v>
      </c>
      <c r="V21" s="14">
        <v>45575</v>
      </c>
      <c r="W21" s="30">
        <f t="shared" si="5"/>
        <v>8</v>
      </c>
      <c r="X21" s="14">
        <v>45588</v>
      </c>
      <c r="Y21" s="14">
        <v>45595</v>
      </c>
      <c r="Z21" s="30">
        <f t="shared" si="6"/>
        <v>8</v>
      </c>
      <c r="AA21" s="14">
        <v>45603</v>
      </c>
      <c r="AB21" s="14">
        <v>45608</v>
      </c>
      <c r="AC21" s="30">
        <f t="shared" si="7"/>
        <v>6</v>
      </c>
      <c r="AD21" s="17">
        <v>45657</v>
      </c>
      <c r="AE21" s="17">
        <v>45657</v>
      </c>
      <c r="AF21" s="30">
        <f t="shared" si="8"/>
        <v>1</v>
      </c>
      <c r="AG21" s="33">
        <v>45818</v>
      </c>
      <c r="AH21" s="33">
        <v>45819</v>
      </c>
      <c r="AI21" s="30">
        <f t="shared" si="9"/>
        <v>2</v>
      </c>
      <c r="AJ21" s="14">
        <v>45820</v>
      </c>
      <c r="AK21" s="14">
        <v>45822</v>
      </c>
      <c r="AL21" s="30">
        <f t="shared" si="10"/>
        <v>3</v>
      </c>
      <c r="AM21" s="14">
        <v>45863</v>
      </c>
      <c r="AN21" s="14"/>
      <c r="AO21" s="30">
        <f t="shared" si="11"/>
        <v>-45862</v>
      </c>
      <c r="AP21" s="14"/>
      <c r="AQ21" s="14"/>
      <c r="AR21" s="30">
        <f t="shared" si="12"/>
        <v>1</v>
      </c>
      <c r="AS21" s="14"/>
      <c r="AT21" s="14"/>
      <c r="AU21" s="30">
        <f t="shared" si="13"/>
        <v>1</v>
      </c>
      <c r="AV21" s="14"/>
      <c r="AW21" s="14"/>
      <c r="AX21" s="30">
        <f t="shared" si="14"/>
        <v>1</v>
      </c>
      <c r="AY21" s="14"/>
      <c r="AZ21" s="14"/>
      <c r="BA21" s="30">
        <f t="shared" si="15"/>
        <v>1</v>
      </c>
      <c r="BB21" s="14"/>
      <c r="BC21" s="14"/>
      <c r="BD21" s="30">
        <f t="shared" si="16"/>
        <v>1</v>
      </c>
      <c r="BE21" s="14"/>
      <c r="BF21" s="14"/>
      <c r="BG21" s="30">
        <f t="shared" si="17"/>
        <v>1</v>
      </c>
      <c r="BH21" s="14"/>
      <c r="BI21" s="14"/>
      <c r="BJ21" s="30">
        <f t="shared" si="18"/>
        <v>1</v>
      </c>
      <c r="BK21" s="14"/>
      <c r="BL21" s="14"/>
      <c r="BM21" s="30">
        <f t="shared" si="19"/>
        <v>1</v>
      </c>
      <c r="BN21" s="14"/>
      <c r="BO21" s="14"/>
      <c r="BP21" s="30">
        <f t="shared" si="20"/>
        <v>1</v>
      </c>
      <c r="BQ21" s="14"/>
      <c r="BR21" s="14"/>
      <c r="BS21" s="30">
        <f t="shared" si="21"/>
        <v>1</v>
      </c>
      <c r="BT21" s="14"/>
      <c r="BU21" s="14"/>
      <c r="BV21" s="30">
        <f t="shared" si="22"/>
        <v>1</v>
      </c>
      <c r="BW21" s="14"/>
      <c r="BX21" s="14"/>
      <c r="BY21" s="30">
        <f t="shared" si="23"/>
        <v>1</v>
      </c>
      <c r="BZ21" s="14"/>
      <c r="CA21" s="14"/>
      <c r="CB21" s="30">
        <f t="shared" si="24"/>
        <v>1</v>
      </c>
      <c r="CC21" s="14"/>
      <c r="CD21" s="14"/>
      <c r="CE21" s="30">
        <f t="shared" si="25"/>
        <v>1</v>
      </c>
      <c r="CF21" s="6"/>
      <c r="CG21" s="6"/>
      <c r="CH21" s="6"/>
      <c r="CK21" s="6"/>
      <c r="CL21" s="6"/>
      <c r="CM21" s="6"/>
      <c r="CN21" s="6"/>
      <c r="CO21" s="6"/>
      <c r="CP21" s="6"/>
      <c r="CQ21" s="6"/>
    </row>
    <row r="22" spans="1:95" s="1" customFormat="1" ht="14" x14ac:dyDescent="0.3">
      <c r="A22" s="37" t="s">
        <v>42</v>
      </c>
      <c r="B22" s="19">
        <v>45479</v>
      </c>
      <c r="C22" s="14">
        <v>45485</v>
      </c>
      <c r="D22" s="14">
        <v>45492</v>
      </c>
      <c r="E22" s="15">
        <f t="shared" si="26"/>
        <v>8</v>
      </c>
      <c r="F22" s="14">
        <v>45498</v>
      </c>
      <c r="G22" s="14">
        <v>45505</v>
      </c>
      <c r="H22" s="15">
        <f t="shared" si="27"/>
        <v>8</v>
      </c>
      <c r="I22" s="14">
        <v>45511</v>
      </c>
      <c r="J22" s="14">
        <v>45514</v>
      </c>
      <c r="K22" s="15">
        <f t="shared" si="1"/>
        <v>4</v>
      </c>
      <c r="L22" s="14">
        <v>45520</v>
      </c>
      <c r="M22" s="14">
        <v>45525</v>
      </c>
      <c r="N22" s="16">
        <f t="shared" si="2"/>
        <v>6</v>
      </c>
      <c r="O22" s="14">
        <v>45531</v>
      </c>
      <c r="P22" s="14">
        <v>45534</v>
      </c>
      <c r="Q22" s="16">
        <f t="shared" si="3"/>
        <v>4</v>
      </c>
      <c r="R22" s="14">
        <v>45539</v>
      </c>
      <c r="S22" s="14">
        <v>45543</v>
      </c>
      <c r="T22" s="30">
        <f t="shared" si="4"/>
        <v>5</v>
      </c>
      <c r="U22" s="14">
        <v>45547</v>
      </c>
      <c r="V22" s="14">
        <v>45551</v>
      </c>
      <c r="W22" s="30">
        <f t="shared" si="5"/>
        <v>5</v>
      </c>
      <c r="X22" s="14">
        <v>45563</v>
      </c>
      <c r="Y22" s="14">
        <v>45568</v>
      </c>
      <c r="Z22" s="30">
        <f t="shared" si="6"/>
        <v>6</v>
      </c>
      <c r="AA22" s="14">
        <v>45579</v>
      </c>
      <c r="AB22" s="14">
        <v>45584</v>
      </c>
      <c r="AC22" s="30">
        <f t="shared" si="7"/>
        <v>6</v>
      </c>
      <c r="AD22" s="14">
        <v>45591</v>
      </c>
      <c r="AE22" s="14">
        <v>45597</v>
      </c>
      <c r="AF22" s="30">
        <f t="shared" si="8"/>
        <v>7</v>
      </c>
      <c r="AG22" s="14">
        <v>45611</v>
      </c>
      <c r="AH22" s="14">
        <v>45618</v>
      </c>
      <c r="AI22" s="30">
        <f t="shared" si="9"/>
        <v>8</v>
      </c>
      <c r="AJ22" s="14">
        <v>45624</v>
      </c>
      <c r="AK22" s="17">
        <v>45657</v>
      </c>
      <c r="AL22" s="30">
        <f t="shared" si="10"/>
        <v>34</v>
      </c>
      <c r="AM22" s="33">
        <v>45820</v>
      </c>
      <c r="AN22" s="33">
        <v>45830</v>
      </c>
      <c r="AO22" s="30">
        <f t="shared" si="11"/>
        <v>11</v>
      </c>
      <c r="AP22" s="14">
        <v>45831</v>
      </c>
      <c r="AQ22" s="14">
        <v>45837</v>
      </c>
      <c r="AR22" s="30">
        <f t="shared" si="12"/>
        <v>7</v>
      </c>
      <c r="AS22" s="14"/>
      <c r="AT22" s="14"/>
      <c r="AU22" s="30">
        <f t="shared" si="13"/>
        <v>1</v>
      </c>
      <c r="AV22" s="14"/>
      <c r="AW22" s="14"/>
      <c r="AX22" s="30">
        <f t="shared" si="14"/>
        <v>1</v>
      </c>
      <c r="AY22" s="14"/>
      <c r="AZ22" s="14"/>
      <c r="BA22" s="30">
        <f t="shared" si="15"/>
        <v>1</v>
      </c>
      <c r="BB22" s="14"/>
      <c r="BC22" s="14"/>
      <c r="BD22" s="30">
        <f t="shared" si="16"/>
        <v>1</v>
      </c>
      <c r="BE22" s="14"/>
      <c r="BF22" s="14"/>
      <c r="BG22" s="30">
        <f t="shared" si="17"/>
        <v>1</v>
      </c>
      <c r="BH22" s="14"/>
      <c r="BI22" s="14"/>
      <c r="BJ22" s="30">
        <f t="shared" si="18"/>
        <v>1</v>
      </c>
      <c r="BK22" s="14"/>
      <c r="BL22" s="14"/>
      <c r="BM22" s="30">
        <f t="shared" si="19"/>
        <v>1</v>
      </c>
      <c r="BN22" s="14"/>
      <c r="BO22" s="14"/>
      <c r="BP22" s="30">
        <f t="shared" si="20"/>
        <v>1</v>
      </c>
      <c r="BQ22" s="14"/>
      <c r="BR22" s="14"/>
      <c r="BS22" s="30">
        <f t="shared" si="21"/>
        <v>1</v>
      </c>
      <c r="BT22" s="14"/>
      <c r="BU22" s="14"/>
      <c r="BV22" s="30">
        <f t="shared" si="22"/>
        <v>1</v>
      </c>
      <c r="BW22" s="14"/>
      <c r="BX22" s="14"/>
      <c r="BY22" s="30">
        <f t="shared" si="23"/>
        <v>1</v>
      </c>
      <c r="BZ22" s="14"/>
      <c r="CA22" s="14"/>
      <c r="CB22" s="30">
        <f t="shared" si="24"/>
        <v>1</v>
      </c>
      <c r="CC22" s="14"/>
      <c r="CD22" s="14"/>
      <c r="CE22" s="30">
        <f t="shared" si="25"/>
        <v>1</v>
      </c>
      <c r="CF22" s="6"/>
      <c r="CG22" s="6"/>
      <c r="CH22" s="6"/>
      <c r="CK22" s="6"/>
      <c r="CL22" s="6"/>
      <c r="CM22" s="6"/>
      <c r="CN22" s="6"/>
      <c r="CO22" s="6"/>
      <c r="CP22" s="6"/>
      <c r="CQ22" s="6"/>
    </row>
    <row r="23" spans="1:95" s="1" customFormat="1" ht="14" x14ac:dyDescent="0.3">
      <c r="A23" s="46" t="s">
        <v>43</v>
      </c>
      <c r="B23" s="13">
        <v>45484</v>
      </c>
      <c r="C23" s="14">
        <v>45490</v>
      </c>
      <c r="D23" s="23">
        <v>45503</v>
      </c>
      <c r="E23" s="15">
        <f t="shared" si="26"/>
        <v>14</v>
      </c>
      <c r="F23" s="14">
        <v>45503</v>
      </c>
      <c r="G23" s="14">
        <v>45516</v>
      </c>
      <c r="H23" s="15">
        <f t="shared" si="27"/>
        <v>14</v>
      </c>
      <c r="I23" s="14">
        <v>45519</v>
      </c>
      <c r="J23" s="14">
        <v>45528</v>
      </c>
      <c r="K23" s="15">
        <f t="shared" si="1"/>
        <v>10</v>
      </c>
      <c r="L23" s="14">
        <v>45533</v>
      </c>
      <c r="M23" s="14">
        <v>45546</v>
      </c>
      <c r="N23" s="16">
        <f t="shared" si="2"/>
        <v>14</v>
      </c>
      <c r="O23" s="14">
        <v>45548</v>
      </c>
      <c r="P23" s="14">
        <v>45566</v>
      </c>
      <c r="Q23" s="16">
        <f t="shared" si="3"/>
        <v>19</v>
      </c>
      <c r="R23" s="14">
        <v>45567</v>
      </c>
      <c r="S23" s="14">
        <v>45587</v>
      </c>
      <c r="T23" s="30">
        <f t="shared" si="4"/>
        <v>21</v>
      </c>
      <c r="U23" s="14">
        <v>45584</v>
      </c>
      <c r="V23" s="14">
        <v>45596</v>
      </c>
      <c r="W23" s="30">
        <f t="shared" si="5"/>
        <v>13</v>
      </c>
      <c r="X23" s="14">
        <v>45598</v>
      </c>
      <c r="Y23" s="14">
        <v>45607</v>
      </c>
      <c r="Z23" s="30">
        <f t="shared" si="6"/>
        <v>10</v>
      </c>
      <c r="AA23" s="14">
        <v>45608</v>
      </c>
      <c r="AB23" s="14">
        <v>45618</v>
      </c>
      <c r="AC23" s="30">
        <f t="shared" si="7"/>
        <v>11</v>
      </c>
      <c r="AD23" s="14">
        <v>45618</v>
      </c>
      <c r="AE23" s="14">
        <v>45624</v>
      </c>
      <c r="AF23" s="30">
        <f t="shared" si="8"/>
        <v>7</v>
      </c>
      <c r="AG23" s="14">
        <v>45625</v>
      </c>
      <c r="AH23" s="17">
        <v>45657</v>
      </c>
      <c r="AI23" s="30">
        <f t="shared" si="9"/>
        <v>33</v>
      </c>
      <c r="AJ23" s="33">
        <v>45820</v>
      </c>
      <c r="AK23" s="33">
        <v>45836</v>
      </c>
      <c r="AL23" s="30">
        <f t="shared" si="10"/>
        <v>17</v>
      </c>
      <c r="AM23" s="14">
        <v>45837</v>
      </c>
      <c r="AN23" s="14">
        <v>45845</v>
      </c>
      <c r="AO23" s="30">
        <f t="shared" si="11"/>
        <v>9</v>
      </c>
      <c r="AP23" s="14">
        <v>45850</v>
      </c>
      <c r="AQ23" s="14">
        <v>45858</v>
      </c>
      <c r="AR23" s="30">
        <f t="shared" si="12"/>
        <v>9</v>
      </c>
      <c r="AS23" s="14"/>
      <c r="AT23" s="14"/>
      <c r="AU23" s="30">
        <f t="shared" si="13"/>
        <v>1</v>
      </c>
      <c r="AV23" s="14"/>
      <c r="AW23" s="14"/>
      <c r="AX23" s="30">
        <f t="shared" si="14"/>
        <v>1</v>
      </c>
      <c r="AY23" s="14"/>
      <c r="AZ23" s="14"/>
      <c r="BA23" s="30">
        <f t="shared" si="15"/>
        <v>1</v>
      </c>
      <c r="BB23" s="14"/>
      <c r="BC23" s="14"/>
      <c r="BD23" s="30">
        <f t="shared" si="16"/>
        <v>1</v>
      </c>
      <c r="BE23" s="14"/>
      <c r="BF23" s="14"/>
      <c r="BG23" s="30">
        <f t="shared" si="17"/>
        <v>1</v>
      </c>
      <c r="BH23" s="14"/>
      <c r="BI23" s="14"/>
      <c r="BJ23" s="30">
        <f t="shared" si="18"/>
        <v>1</v>
      </c>
      <c r="BK23" s="14"/>
      <c r="BL23" s="14"/>
      <c r="BM23" s="30">
        <f t="shared" si="19"/>
        <v>1</v>
      </c>
      <c r="BN23" s="14"/>
      <c r="BO23" s="14"/>
      <c r="BP23" s="30">
        <f t="shared" si="20"/>
        <v>1</v>
      </c>
      <c r="BQ23" s="14"/>
      <c r="BR23" s="14"/>
      <c r="BS23" s="30">
        <f t="shared" si="21"/>
        <v>1</v>
      </c>
      <c r="BT23" s="14"/>
      <c r="BU23" s="14"/>
      <c r="BV23" s="30">
        <f t="shared" si="22"/>
        <v>1</v>
      </c>
      <c r="BW23" s="14"/>
      <c r="BX23" s="14"/>
      <c r="BY23" s="30">
        <f t="shared" si="23"/>
        <v>1</v>
      </c>
      <c r="BZ23" s="14"/>
      <c r="CA23" s="14"/>
      <c r="CB23" s="30">
        <f t="shared" si="24"/>
        <v>1</v>
      </c>
      <c r="CC23" s="14"/>
      <c r="CD23" s="14"/>
      <c r="CE23" s="30">
        <f t="shared" si="25"/>
        <v>1</v>
      </c>
      <c r="CF23" s="6"/>
      <c r="CG23" s="6"/>
      <c r="CH23" s="6"/>
      <c r="CK23" s="6"/>
      <c r="CL23" s="6"/>
      <c r="CM23" s="6"/>
      <c r="CN23" s="6"/>
      <c r="CO23" s="6"/>
      <c r="CP23" s="6"/>
      <c r="CQ23" s="6"/>
    </row>
    <row r="24" spans="1:95" s="1" customFormat="1" ht="14" x14ac:dyDescent="0.3">
      <c r="A24" s="50" t="s">
        <v>44</v>
      </c>
      <c r="B24" s="13">
        <v>45485</v>
      </c>
      <c r="C24" s="23">
        <v>45485</v>
      </c>
      <c r="D24" s="14">
        <v>45491</v>
      </c>
      <c r="E24" s="15">
        <f t="shared" si="26"/>
        <v>7</v>
      </c>
      <c r="F24" s="14">
        <v>45504</v>
      </c>
      <c r="G24" s="14">
        <v>45509</v>
      </c>
      <c r="H24" s="15">
        <f t="shared" si="27"/>
        <v>6</v>
      </c>
      <c r="I24" s="14">
        <v>45520</v>
      </c>
      <c r="J24" s="14">
        <v>45524</v>
      </c>
      <c r="K24" s="15">
        <f t="shared" si="1"/>
        <v>5</v>
      </c>
      <c r="L24" s="14">
        <v>45532</v>
      </c>
      <c r="M24" s="14">
        <v>45537</v>
      </c>
      <c r="N24" s="16">
        <f t="shared" si="2"/>
        <v>6</v>
      </c>
      <c r="O24" s="14">
        <v>45546</v>
      </c>
      <c r="P24" s="14">
        <v>45557</v>
      </c>
      <c r="Q24" s="16">
        <f t="shared" si="3"/>
        <v>12</v>
      </c>
      <c r="R24" s="14">
        <v>45567</v>
      </c>
      <c r="S24" s="14">
        <v>45572</v>
      </c>
      <c r="T24" s="30">
        <f t="shared" si="4"/>
        <v>6</v>
      </c>
      <c r="U24" s="14">
        <v>45589</v>
      </c>
      <c r="V24" s="14">
        <v>45596</v>
      </c>
      <c r="W24" s="30">
        <f t="shared" si="5"/>
        <v>8</v>
      </c>
      <c r="X24" s="14">
        <v>45604</v>
      </c>
      <c r="Y24" s="14">
        <v>45610</v>
      </c>
      <c r="Z24" s="30">
        <f t="shared" si="6"/>
        <v>7</v>
      </c>
      <c r="AA24" s="14">
        <v>45616</v>
      </c>
      <c r="AB24" s="14">
        <v>45619</v>
      </c>
      <c r="AC24" s="30">
        <f t="shared" si="7"/>
        <v>4</v>
      </c>
      <c r="AD24" s="14">
        <v>45631</v>
      </c>
      <c r="AE24" s="17">
        <v>45657</v>
      </c>
      <c r="AF24" s="30">
        <f t="shared" si="8"/>
        <v>27</v>
      </c>
      <c r="AG24" s="33">
        <v>45832</v>
      </c>
      <c r="AH24" s="33">
        <v>45839</v>
      </c>
      <c r="AI24" s="30">
        <f t="shared" si="9"/>
        <v>8</v>
      </c>
      <c r="AJ24" s="14">
        <v>45849</v>
      </c>
      <c r="AK24" s="14">
        <v>45856</v>
      </c>
      <c r="AL24" s="30">
        <f t="shared" si="10"/>
        <v>8</v>
      </c>
      <c r="AM24" s="14">
        <v>45862</v>
      </c>
      <c r="AN24" s="14">
        <v>45865</v>
      </c>
      <c r="AO24" s="30">
        <f t="shared" si="11"/>
        <v>4</v>
      </c>
      <c r="AP24" s="14">
        <v>45877</v>
      </c>
      <c r="AQ24" s="14">
        <v>45883</v>
      </c>
      <c r="AR24" s="30">
        <f t="shared" si="12"/>
        <v>7</v>
      </c>
      <c r="AS24" s="14">
        <v>45891</v>
      </c>
      <c r="AT24" s="14">
        <v>45896</v>
      </c>
      <c r="AU24" s="30">
        <f t="shared" si="13"/>
        <v>6</v>
      </c>
      <c r="AV24" s="14"/>
      <c r="AW24" s="14"/>
      <c r="AX24" s="30">
        <f t="shared" si="14"/>
        <v>1</v>
      </c>
      <c r="AY24" s="14"/>
      <c r="AZ24" s="14"/>
      <c r="BA24" s="30">
        <f t="shared" si="15"/>
        <v>1</v>
      </c>
      <c r="BB24" s="14"/>
      <c r="BC24" s="14"/>
      <c r="BD24" s="30">
        <f t="shared" si="16"/>
        <v>1</v>
      </c>
      <c r="BE24" s="14"/>
      <c r="BF24" s="14"/>
      <c r="BG24" s="30">
        <f t="shared" si="17"/>
        <v>1</v>
      </c>
      <c r="BH24" s="14"/>
      <c r="BI24" s="14"/>
      <c r="BJ24" s="30">
        <f t="shared" si="18"/>
        <v>1</v>
      </c>
      <c r="BK24" s="14"/>
      <c r="BL24" s="14"/>
      <c r="BM24" s="30">
        <f t="shared" si="19"/>
        <v>1</v>
      </c>
      <c r="BN24" s="14"/>
      <c r="BO24" s="14"/>
      <c r="BP24" s="30">
        <f t="shared" si="20"/>
        <v>1</v>
      </c>
      <c r="BQ24" s="14"/>
      <c r="BR24" s="14"/>
      <c r="BS24" s="30">
        <f t="shared" si="21"/>
        <v>1</v>
      </c>
      <c r="BT24" s="14"/>
      <c r="BU24" s="14"/>
      <c r="BV24" s="30">
        <f t="shared" si="22"/>
        <v>1</v>
      </c>
      <c r="BW24" s="14"/>
      <c r="BX24" s="14"/>
      <c r="BY24" s="30">
        <f t="shared" si="23"/>
        <v>1</v>
      </c>
      <c r="BZ24" s="14"/>
      <c r="CA24" s="14"/>
      <c r="CB24" s="30">
        <f t="shared" si="24"/>
        <v>1</v>
      </c>
      <c r="CC24" s="14"/>
      <c r="CD24" s="14"/>
      <c r="CE24" s="30">
        <f t="shared" si="25"/>
        <v>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</row>
    <row r="25" spans="1:95" s="1" customFormat="1" ht="14" x14ac:dyDescent="0.3">
      <c r="A25" s="36" t="s">
        <v>45</v>
      </c>
      <c r="B25" s="13">
        <v>45501</v>
      </c>
      <c r="C25" s="14">
        <v>45510</v>
      </c>
      <c r="D25" s="14">
        <v>45517</v>
      </c>
      <c r="E25" s="15">
        <f t="shared" si="26"/>
        <v>8</v>
      </c>
      <c r="F25" s="14">
        <v>45525</v>
      </c>
      <c r="G25" s="14">
        <v>45528</v>
      </c>
      <c r="H25" s="15">
        <f t="shared" si="27"/>
        <v>4</v>
      </c>
      <c r="I25" s="14">
        <v>45544</v>
      </c>
      <c r="J25" s="14">
        <v>45552</v>
      </c>
      <c r="K25" s="15">
        <f t="shared" si="1"/>
        <v>9</v>
      </c>
      <c r="L25" s="14">
        <v>45567</v>
      </c>
      <c r="M25" s="14">
        <v>45577</v>
      </c>
      <c r="N25" s="16">
        <f t="shared" si="2"/>
        <v>11</v>
      </c>
      <c r="O25" s="14">
        <v>45588</v>
      </c>
      <c r="P25" s="14">
        <v>45597</v>
      </c>
      <c r="Q25" s="16">
        <f t="shared" si="3"/>
        <v>10</v>
      </c>
      <c r="R25" s="14">
        <v>45608</v>
      </c>
      <c r="S25" s="14">
        <v>45614</v>
      </c>
      <c r="T25" s="30">
        <f t="shared" si="4"/>
        <v>7</v>
      </c>
      <c r="U25" s="14">
        <v>45619</v>
      </c>
      <c r="V25" s="14">
        <v>45624</v>
      </c>
      <c r="W25" s="30">
        <f t="shared" si="5"/>
        <v>6</v>
      </c>
      <c r="X25" s="14">
        <v>45650</v>
      </c>
      <c r="Y25" s="17">
        <v>45657</v>
      </c>
      <c r="Z25" s="30">
        <f t="shared" si="6"/>
        <v>8</v>
      </c>
      <c r="AA25" s="33">
        <v>45820</v>
      </c>
      <c r="AB25" s="33">
        <v>45834</v>
      </c>
      <c r="AC25" s="30">
        <f t="shared" si="7"/>
        <v>15</v>
      </c>
      <c r="AD25" s="14">
        <v>45836</v>
      </c>
      <c r="AE25" s="14">
        <v>45844</v>
      </c>
      <c r="AF25" s="30">
        <f t="shared" si="8"/>
        <v>9</v>
      </c>
      <c r="AG25" s="14">
        <v>45857</v>
      </c>
      <c r="AH25" s="14">
        <v>45877</v>
      </c>
      <c r="AI25" s="30">
        <f t="shared" si="9"/>
        <v>21</v>
      </c>
      <c r="AJ25" s="14">
        <v>45877</v>
      </c>
      <c r="AK25" s="14">
        <v>45886</v>
      </c>
      <c r="AL25" s="30">
        <f t="shared" si="10"/>
        <v>10</v>
      </c>
      <c r="AM25" s="14">
        <v>45899</v>
      </c>
      <c r="AN25" s="14">
        <v>45902</v>
      </c>
      <c r="AO25" s="30">
        <f t="shared" si="11"/>
        <v>4</v>
      </c>
      <c r="AP25" s="14"/>
      <c r="AQ25" s="14"/>
      <c r="AR25" s="30">
        <f t="shared" si="12"/>
        <v>1</v>
      </c>
      <c r="AS25" s="14"/>
      <c r="AT25" s="14"/>
      <c r="AU25" s="30">
        <f t="shared" si="13"/>
        <v>1</v>
      </c>
      <c r="AV25" s="14"/>
      <c r="AW25" s="14"/>
      <c r="AX25" s="30">
        <f t="shared" si="14"/>
        <v>1</v>
      </c>
      <c r="AY25" s="14"/>
      <c r="AZ25" s="14"/>
      <c r="BA25" s="30">
        <f t="shared" si="15"/>
        <v>1</v>
      </c>
      <c r="BB25" s="14"/>
      <c r="BC25" s="14"/>
      <c r="BD25" s="30">
        <f t="shared" si="16"/>
        <v>1</v>
      </c>
      <c r="BE25" s="14"/>
      <c r="BF25" s="14"/>
      <c r="BG25" s="30">
        <f t="shared" si="17"/>
        <v>1</v>
      </c>
      <c r="BH25" s="14"/>
      <c r="BI25" s="14"/>
      <c r="BJ25" s="30">
        <f t="shared" si="18"/>
        <v>1</v>
      </c>
      <c r="BK25" s="14"/>
      <c r="BL25" s="14"/>
      <c r="BM25" s="30">
        <f t="shared" si="19"/>
        <v>1</v>
      </c>
      <c r="BN25" s="14"/>
      <c r="BO25" s="14"/>
      <c r="BP25" s="30">
        <f t="shared" si="20"/>
        <v>1</v>
      </c>
      <c r="BQ25" s="14"/>
      <c r="BR25" s="14"/>
      <c r="BS25" s="30">
        <f t="shared" si="21"/>
        <v>1</v>
      </c>
      <c r="BT25" s="14"/>
      <c r="BU25" s="14"/>
      <c r="BV25" s="30">
        <f t="shared" si="22"/>
        <v>1</v>
      </c>
      <c r="BW25" s="14"/>
      <c r="BX25" s="14"/>
      <c r="BY25" s="30">
        <f t="shared" si="23"/>
        <v>1</v>
      </c>
      <c r="BZ25" s="14"/>
      <c r="CA25" s="14"/>
      <c r="CB25" s="30">
        <f t="shared" si="24"/>
        <v>1</v>
      </c>
      <c r="CC25" s="14"/>
      <c r="CD25" s="14"/>
      <c r="CE25" s="30">
        <f t="shared" si="25"/>
        <v>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</row>
    <row r="26" spans="1:95" s="1" customFormat="1" ht="14" x14ac:dyDescent="0.3">
      <c r="A26" s="36" t="s">
        <v>19</v>
      </c>
      <c r="B26" s="13">
        <v>45510</v>
      </c>
      <c r="C26" s="14">
        <v>45518</v>
      </c>
      <c r="D26" s="14">
        <v>45524</v>
      </c>
      <c r="E26" s="15">
        <f t="shared" si="26"/>
        <v>7</v>
      </c>
      <c r="F26" s="14">
        <v>45527</v>
      </c>
      <c r="G26" s="14">
        <v>45532</v>
      </c>
      <c r="H26" s="15">
        <f t="shared" si="27"/>
        <v>6</v>
      </c>
      <c r="I26" s="14">
        <v>45547</v>
      </c>
      <c r="J26" s="14">
        <v>45553</v>
      </c>
      <c r="K26" s="15">
        <f t="shared" si="1"/>
        <v>7</v>
      </c>
      <c r="L26" s="14">
        <v>45561</v>
      </c>
      <c r="M26" s="14">
        <v>45568</v>
      </c>
      <c r="N26" s="16">
        <f t="shared" si="2"/>
        <v>8</v>
      </c>
      <c r="O26" s="14">
        <v>45576</v>
      </c>
      <c r="P26" s="14">
        <v>45583</v>
      </c>
      <c r="Q26" s="16">
        <f t="shared" si="3"/>
        <v>8</v>
      </c>
      <c r="R26" s="14">
        <v>45601</v>
      </c>
      <c r="S26" s="14">
        <v>45607</v>
      </c>
      <c r="T26" s="30">
        <f t="shared" si="4"/>
        <v>7</v>
      </c>
      <c r="U26" s="17">
        <v>45657</v>
      </c>
      <c r="V26" s="17">
        <v>45657</v>
      </c>
      <c r="W26" s="30">
        <f t="shared" si="5"/>
        <v>1</v>
      </c>
      <c r="X26" s="33">
        <v>45807</v>
      </c>
      <c r="Y26" s="33">
        <v>45821</v>
      </c>
      <c r="Z26" s="30">
        <f t="shared" si="6"/>
        <v>15</v>
      </c>
      <c r="AA26" s="14">
        <v>45842</v>
      </c>
      <c r="AB26" s="14">
        <v>45854</v>
      </c>
      <c r="AC26" s="30">
        <f t="shared" si="7"/>
        <v>13</v>
      </c>
      <c r="AD26" s="14">
        <v>45875</v>
      </c>
      <c r="AE26" s="14">
        <v>45883</v>
      </c>
      <c r="AF26" s="30">
        <f t="shared" si="8"/>
        <v>9</v>
      </c>
      <c r="AG26" s="14">
        <v>45887</v>
      </c>
      <c r="AH26" s="14">
        <v>45898</v>
      </c>
      <c r="AI26" s="30">
        <f t="shared" si="9"/>
        <v>12</v>
      </c>
      <c r="AJ26" s="14">
        <v>45904</v>
      </c>
      <c r="AK26" s="14">
        <v>45909</v>
      </c>
      <c r="AL26" s="30">
        <f t="shared" si="10"/>
        <v>6</v>
      </c>
      <c r="AM26" s="14">
        <v>45917</v>
      </c>
      <c r="AN26" s="14">
        <v>45919</v>
      </c>
      <c r="AO26" s="30">
        <f t="shared" si="11"/>
        <v>3</v>
      </c>
      <c r="AP26" s="14"/>
      <c r="AQ26" s="14"/>
      <c r="AR26" s="30">
        <f t="shared" si="12"/>
        <v>1</v>
      </c>
      <c r="AS26" s="14"/>
      <c r="AT26" s="14"/>
      <c r="AU26" s="30">
        <f t="shared" si="13"/>
        <v>1</v>
      </c>
      <c r="AV26" s="14"/>
      <c r="AW26" s="14"/>
      <c r="AX26" s="30">
        <f t="shared" si="14"/>
        <v>1</v>
      </c>
      <c r="AY26" s="14"/>
      <c r="AZ26" s="14"/>
      <c r="BA26" s="30">
        <f t="shared" si="15"/>
        <v>1</v>
      </c>
      <c r="BB26" s="14"/>
      <c r="BC26" s="14"/>
      <c r="BD26" s="30">
        <f t="shared" si="16"/>
        <v>1</v>
      </c>
      <c r="BE26" s="14"/>
      <c r="BF26" s="14"/>
      <c r="BG26" s="30">
        <f t="shared" si="17"/>
        <v>1</v>
      </c>
      <c r="BH26" s="14"/>
      <c r="BI26" s="14"/>
      <c r="BJ26" s="30">
        <f t="shared" si="18"/>
        <v>1</v>
      </c>
      <c r="BK26" s="14"/>
      <c r="BL26" s="14"/>
      <c r="BM26" s="30">
        <f t="shared" si="19"/>
        <v>1</v>
      </c>
      <c r="BN26" s="14"/>
      <c r="BO26" s="14"/>
      <c r="BP26" s="30">
        <f t="shared" si="20"/>
        <v>1</v>
      </c>
      <c r="BQ26" s="14"/>
      <c r="BR26" s="14"/>
      <c r="BS26" s="30">
        <f t="shared" si="21"/>
        <v>1</v>
      </c>
      <c r="BT26" s="14"/>
      <c r="BU26" s="14"/>
      <c r="BV26" s="30">
        <f t="shared" si="22"/>
        <v>1</v>
      </c>
      <c r="BW26" s="14"/>
      <c r="BX26" s="14"/>
      <c r="BY26" s="30">
        <f t="shared" si="23"/>
        <v>1</v>
      </c>
      <c r="BZ26" s="14"/>
      <c r="CA26" s="14"/>
      <c r="CB26" s="30">
        <f t="shared" si="24"/>
        <v>1</v>
      </c>
      <c r="CC26" s="14"/>
      <c r="CD26" s="14"/>
      <c r="CE26" s="30">
        <f t="shared" si="25"/>
        <v>1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</row>
    <row r="27" spans="1:95" s="1" customFormat="1" ht="14" x14ac:dyDescent="0.3">
      <c r="A27" s="39" t="s">
        <v>46</v>
      </c>
      <c r="B27" s="13">
        <v>45530</v>
      </c>
      <c r="C27" s="14">
        <v>45530</v>
      </c>
      <c r="D27" s="14">
        <v>45541</v>
      </c>
      <c r="E27" s="15">
        <f t="shared" si="26"/>
        <v>12</v>
      </c>
      <c r="F27" s="14">
        <v>45551</v>
      </c>
      <c r="G27" s="14">
        <v>45558</v>
      </c>
      <c r="H27" s="15">
        <f t="shared" si="27"/>
        <v>8</v>
      </c>
      <c r="I27" s="14">
        <v>45566</v>
      </c>
      <c r="J27" s="14">
        <v>45573</v>
      </c>
      <c r="K27" s="15">
        <f t="shared" si="1"/>
        <v>8</v>
      </c>
      <c r="L27" s="14">
        <v>45583</v>
      </c>
      <c r="M27" s="14">
        <v>45596</v>
      </c>
      <c r="N27" s="16">
        <f t="shared" si="2"/>
        <v>14</v>
      </c>
      <c r="O27" s="14">
        <v>45600</v>
      </c>
      <c r="P27" s="14">
        <v>45611</v>
      </c>
      <c r="Q27" s="16">
        <f t="shared" si="3"/>
        <v>12</v>
      </c>
      <c r="R27" s="14">
        <v>45616</v>
      </c>
      <c r="S27" s="14">
        <v>45624</v>
      </c>
      <c r="T27" s="30">
        <f t="shared" si="4"/>
        <v>9</v>
      </c>
      <c r="U27" s="14">
        <v>45644</v>
      </c>
      <c r="V27" s="17">
        <v>45657</v>
      </c>
      <c r="W27" s="30">
        <f t="shared" si="5"/>
        <v>14</v>
      </c>
      <c r="X27" s="33">
        <v>45821</v>
      </c>
      <c r="Y27" s="33">
        <v>45840</v>
      </c>
      <c r="Z27" s="30">
        <f t="shared" si="6"/>
        <v>20</v>
      </c>
      <c r="AA27" s="14">
        <v>45841</v>
      </c>
      <c r="AB27" s="14"/>
      <c r="AC27" s="30">
        <f t="shared" si="7"/>
        <v>-45840</v>
      </c>
      <c r="AD27" s="14"/>
      <c r="AE27" s="14"/>
      <c r="AF27" s="30">
        <f t="shared" si="8"/>
        <v>1</v>
      </c>
      <c r="AG27" s="14"/>
      <c r="AH27" s="14"/>
      <c r="AI27" s="30">
        <f t="shared" si="9"/>
        <v>1</v>
      </c>
      <c r="AJ27" s="14"/>
      <c r="AK27" s="14"/>
      <c r="AL27" s="30">
        <f t="shared" si="10"/>
        <v>1</v>
      </c>
      <c r="AM27" s="14"/>
      <c r="AN27" s="14"/>
      <c r="AO27" s="30">
        <f t="shared" si="11"/>
        <v>1</v>
      </c>
      <c r="AP27" s="14"/>
      <c r="AQ27" s="14"/>
      <c r="AR27" s="30">
        <f t="shared" si="12"/>
        <v>1</v>
      </c>
      <c r="AS27" s="14"/>
      <c r="AT27" s="14"/>
      <c r="AU27" s="30">
        <f t="shared" si="13"/>
        <v>1</v>
      </c>
      <c r="AV27" s="14"/>
      <c r="AW27" s="14"/>
      <c r="AX27" s="30">
        <f t="shared" si="14"/>
        <v>1</v>
      </c>
      <c r="AY27" s="14"/>
      <c r="AZ27" s="14"/>
      <c r="BA27" s="30">
        <f t="shared" si="15"/>
        <v>1</v>
      </c>
      <c r="BB27" s="14"/>
      <c r="BC27" s="14"/>
      <c r="BD27" s="30">
        <f t="shared" si="16"/>
        <v>1</v>
      </c>
      <c r="BE27" s="14"/>
      <c r="BF27" s="14"/>
      <c r="BG27" s="30">
        <f t="shared" si="17"/>
        <v>1</v>
      </c>
      <c r="BH27" s="14"/>
      <c r="BI27" s="14"/>
      <c r="BJ27" s="30">
        <f t="shared" si="18"/>
        <v>1</v>
      </c>
      <c r="BK27" s="14"/>
      <c r="BL27" s="14"/>
      <c r="BM27" s="30">
        <f t="shared" si="19"/>
        <v>1</v>
      </c>
      <c r="BN27" s="14"/>
      <c r="BO27" s="14"/>
      <c r="BP27" s="30">
        <f t="shared" si="20"/>
        <v>1</v>
      </c>
      <c r="BQ27" s="14"/>
      <c r="BR27" s="14"/>
      <c r="BS27" s="30">
        <f t="shared" si="21"/>
        <v>1</v>
      </c>
      <c r="BT27" s="14"/>
      <c r="BU27" s="14"/>
      <c r="BV27" s="30">
        <f t="shared" si="22"/>
        <v>1</v>
      </c>
      <c r="BW27" s="14"/>
      <c r="BX27" s="14"/>
      <c r="BY27" s="30">
        <f t="shared" si="23"/>
        <v>1</v>
      </c>
      <c r="BZ27" s="14"/>
      <c r="CA27" s="14"/>
      <c r="CB27" s="30">
        <f t="shared" si="24"/>
        <v>1</v>
      </c>
      <c r="CC27" s="14"/>
      <c r="CD27" s="14"/>
      <c r="CE27" s="30">
        <f t="shared" si="25"/>
        <v>1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</row>
    <row r="28" spans="1:95" s="1" customFormat="1" ht="14" x14ac:dyDescent="0.3">
      <c r="A28" s="36" t="s">
        <v>47</v>
      </c>
      <c r="B28" s="13">
        <v>45524</v>
      </c>
      <c r="C28" s="14">
        <v>45531</v>
      </c>
      <c r="D28" s="14">
        <v>45541</v>
      </c>
      <c r="E28" s="15">
        <f t="shared" si="26"/>
        <v>11</v>
      </c>
      <c r="F28" s="14">
        <v>45542</v>
      </c>
      <c r="G28" s="14">
        <v>45549</v>
      </c>
      <c r="H28" s="15">
        <f t="shared" si="27"/>
        <v>8</v>
      </c>
      <c r="I28" s="14">
        <v>45556</v>
      </c>
      <c r="J28" s="14">
        <v>45562</v>
      </c>
      <c r="K28" s="15">
        <f t="shared" si="1"/>
        <v>7</v>
      </c>
      <c r="L28" s="14">
        <v>45570</v>
      </c>
      <c r="M28" s="14">
        <v>45576</v>
      </c>
      <c r="N28" s="16">
        <f t="shared" si="2"/>
        <v>7</v>
      </c>
      <c r="O28" s="14">
        <v>45582</v>
      </c>
      <c r="P28" s="14">
        <v>45591</v>
      </c>
      <c r="Q28" s="16">
        <f t="shared" si="3"/>
        <v>10</v>
      </c>
      <c r="R28" s="14">
        <v>45594</v>
      </c>
      <c r="S28" s="14">
        <v>45598</v>
      </c>
      <c r="T28" s="30">
        <f t="shared" si="4"/>
        <v>5</v>
      </c>
      <c r="U28" s="14">
        <v>45605</v>
      </c>
      <c r="V28" s="14">
        <v>45612</v>
      </c>
      <c r="W28" s="30">
        <f t="shared" si="5"/>
        <v>8</v>
      </c>
      <c r="X28" s="14">
        <v>45617</v>
      </c>
      <c r="Y28" s="14">
        <v>45623</v>
      </c>
      <c r="Z28" s="30">
        <f t="shared" si="6"/>
        <v>7</v>
      </c>
      <c r="AA28" s="14">
        <v>45626</v>
      </c>
      <c r="AB28" s="17">
        <v>45657</v>
      </c>
      <c r="AC28" s="30">
        <f t="shared" si="7"/>
        <v>32</v>
      </c>
      <c r="AD28" s="33">
        <v>45807</v>
      </c>
      <c r="AE28" s="33">
        <v>45828</v>
      </c>
      <c r="AF28" s="30">
        <f t="shared" si="8"/>
        <v>22</v>
      </c>
      <c r="AG28" s="14"/>
      <c r="AH28" s="14"/>
      <c r="AI28" s="30">
        <f t="shared" si="9"/>
        <v>1</v>
      </c>
      <c r="AJ28" s="14"/>
      <c r="AK28" s="14"/>
      <c r="AL28" s="30">
        <f t="shared" si="10"/>
        <v>1</v>
      </c>
      <c r="AM28" s="14"/>
      <c r="AN28" s="14"/>
      <c r="AO28" s="30">
        <f t="shared" si="11"/>
        <v>1</v>
      </c>
      <c r="AP28" s="14"/>
      <c r="AQ28" s="14"/>
      <c r="AR28" s="30">
        <f t="shared" si="12"/>
        <v>1</v>
      </c>
      <c r="AS28" s="14"/>
      <c r="AT28" s="14"/>
      <c r="AU28" s="30">
        <f t="shared" si="13"/>
        <v>1</v>
      </c>
      <c r="AV28" s="14"/>
      <c r="AW28" s="14"/>
      <c r="AX28" s="30">
        <f t="shared" si="14"/>
        <v>1</v>
      </c>
      <c r="AY28" s="14"/>
      <c r="AZ28" s="14"/>
      <c r="BA28" s="30">
        <f t="shared" si="15"/>
        <v>1</v>
      </c>
      <c r="BB28" s="14"/>
      <c r="BC28" s="14"/>
      <c r="BD28" s="30">
        <f t="shared" si="16"/>
        <v>1</v>
      </c>
      <c r="BE28" s="14"/>
      <c r="BF28" s="14"/>
      <c r="BG28" s="30">
        <f t="shared" si="17"/>
        <v>1</v>
      </c>
      <c r="BH28" s="14"/>
      <c r="BI28" s="14"/>
      <c r="BJ28" s="30">
        <f t="shared" si="18"/>
        <v>1</v>
      </c>
      <c r="BK28" s="14"/>
      <c r="BL28" s="14"/>
      <c r="BM28" s="30">
        <f t="shared" si="19"/>
        <v>1</v>
      </c>
      <c r="BN28" s="14"/>
      <c r="BO28" s="14"/>
      <c r="BP28" s="30">
        <f t="shared" si="20"/>
        <v>1</v>
      </c>
      <c r="BQ28" s="14"/>
      <c r="BR28" s="14"/>
      <c r="BS28" s="30">
        <f t="shared" si="21"/>
        <v>1</v>
      </c>
      <c r="BT28" s="14"/>
      <c r="BU28" s="14"/>
      <c r="BV28" s="30">
        <f t="shared" si="22"/>
        <v>1</v>
      </c>
      <c r="BW28" s="14"/>
      <c r="BX28" s="14"/>
      <c r="BY28" s="30">
        <f t="shared" si="23"/>
        <v>1</v>
      </c>
      <c r="BZ28" s="14"/>
      <c r="CA28" s="14"/>
      <c r="CB28" s="30">
        <f t="shared" si="24"/>
        <v>1</v>
      </c>
      <c r="CC28" s="14"/>
      <c r="CD28" s="14"/>
      <c r="CE28" s="30">
        <f t="shared" si="25"/>
        <v>1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</row>
    <row r="29" spans="1:95" s="1" customFormat="1" ht="14" x14ac:dyDescent="0.3">
      <c r="A29" s="36" t="s">
        <v>48</v>
      </c>
      <c r="B29" s="13">
        <v>45564</v>
      </c>
      <c r="C29" s="14">
        <v>45545</v>
      </c>
      <c r="D29" s="14">
        <v>45558</v>
      </c>
      <c r="E29" s="15">
        <f t="shared" si="26"/>
        <v>14</v>
      </c>
      <c r="F29" s="14">
        <v>45559</v>
      </c>
      <c r="G29" s="14">
        <v>45572</v>
      </c>
      <c r="H29" s="15">
        <f t="shared" si="27"/>
        <v>14</v>
      </c>
      <c r="I29" s="14">
        <v>45583</v>
      </c>
      <c r="J29" s="14">
        <v>45590</v>
      </c>
      <c r="K29" s="15">
        <f t="shared" si="1"/>
        <v>8</v>
      </c>
      <c r="L29" s="14">
        <v>45602</v>
      </c>
      <c r="M29" s="14">
        <v>45610</v>
      </c>
      <c r="N29" s="16">
        <f t="shared" si="2"/>
        <v>9</v>
      </c>
      <c r="O29" s="14">
        <v>45639</v>
      </c>
      <c r="P29" s="17">
        <v>45657</v>
      </c>
      <c r="Q29" s="16">
        <f t="shared" si="3"/>
        <v>19</v>
      </c>
      <c r="R29" s="33">
        <v>45820</v>
      </c>
      <c r="S29" s="33">
        <v>45840</v>
      </c>
      <c r="T29" s="30">
        <f t="shared" si="4"/>
        <v>21</v>
      </c>
      <c r="U29" s="14">
        <v>45840</v>
      </c>
      <c r="V29" s="14">
        <v>45848</v>
      </c>
      <c r="W29" s="30">
        <f t="shared" si="5"/>
        <v>9</v>
      </c>
      <c r="X29" s="14">
        <v>45849</v>
      </c>
      <c r="Y29" s="14">
        <v>45855</v>
      </c>
      <c r="Z29" s="30">
        <f t="shared" si="6"/>
        <v>7</v>
      </c>
      <c r="AA29" s="14">
        <v>45857</v>
      </c>
      <c r="AB29" s="14">
        <v>45865</v>
      </c>
      <c r="AC29" s="30">
        <f t="shared" si="7"/>
        <v>9</v>
      </c>
      <c r="AD29" s="14">
        <v>45866</v>
      </c>
      <c r="AE29" s="14">
        <v>45885</v>
      </c>
      <c r="AF29" s="30">
        <f t="shared" si="8"/>
        <v>20</v>
      </c>
      <c r="AG29" s="14"/>
      <c r="AH29" s="14"/>
      <c r="AI29" s="30">
        <f t="shared" si="9"/>
        <v>1</v>
      </c>
      <c r="AJ29" s="14"/>
      <c r="AK29" s="14"/>
      <c r="AL29" s="30">
        <f t="shared" si="10"/>
        <v>1</v>
      </c>
      <c r="AM29" s="14"/>
      <c r="AN29" s="14"/>
      <c r="AO29" s="30">
        <f t="shared" si="11"/>
        <v>1</v>
      </c>
      <c r="AP29" s="14"/>
      <c r="AQ29" s="14"/>
      <c r="AR29" s="30">
        <f t="shared" si="12"/>
        <v>1</v>
      </c>
      <c r="AS29" s="14"/>
      <c r="AT29" s="14"/>
      <c r="AU29" s="30">
        <f t="shared" si="13"/>
        <v>1</v>
      </c>
      <c r="AV29" s="14"/>
      <c r="AW29" s="14"/>
      <c r="AX29" s="30">
        <f t="shared" si="14"/>
        <v>1</v>
      </c>
      <c r="AY29" s="14"/>
      <c r="AZ29" s="14"/>
      <c r="BA29" s="30">
        <f t="shared" si="15"/>
        <v>1</v>
      </c>
      <c r="BB29" s="14"/>
      <c r="BC29" s="14"/>
      <c r="BD29" s="30">
        <f t="shared" si="16"/>
        <v>1</v>
      </c>
      <c r="BE29" s="14"/>
      <c r="BF29" s="14"/>
      <c r="BG29" s="30">
        <f t="shared" si="17"/>
        <v>1</v>
      </c>
      <c r="BH29" s="14"/>
      <c r="BI29" s="14"/>
      <c r="BJ29" s="30">
        <f t="shared" si="18"/>
        <v>1</v>
      </c>
      <c r="BK29" s="14"/>
      <c r="BL29" s="14"/>
      <c r="BM29" s="30">
        <f t="shared" si="19"/>
        <v>1</v>
      </c>
      <c r="BN29" s="14"/>
      <c r="BO29" s="14"/>
      <c r="BP29" s="30">
        <f t="shared" si="20"/>
        <v>1</v>
      </c>
      <c r="BQ29" s="14"/>
      <c r="BR29" s="14"/>
      <c r="BS29" s="30">
        <f t="shared" si="21"/>
        <v>1</v>
      </c>
      <c r="BT29" s="14"/>
      <c r="BU29" s="14"/>
      <c r="BV29" s="30">
        <f t="shared" si="22"/>
        <v>1</v>
      </c>
      <c r="BW29" s="14"/>
      <c r="BX29" s="14"/>
      <c r="BY29" s="30">
        <f t="shared" si="23"/>
        <v>1</v>
      </c>
      <c r="BZ29" s="14"/>
      <c r="CA29" s="14"/>
      <c r="CB29" s="30">
        <f t="shared" si="24"/>
        <v>1</v>
      </c>
      <c r="CC29" s="14"/>
      <c r="CD29" s="14"/>
      <c r="CE29" s="30">
        <f t="shared" si="25"/>
        <v>1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</row>
    <row r="30" spans="1:95" s="1" customFormat="1" ht="14" x14ac:dyDescent="0.3">
      <c r="A30" s="55" t="s">
        <v>49</v>
      </c>
      <c r="B30" s="13" t="s">
        <v>7</v>
      </c>
      <c r="C30" s="14">
        <v>45546</v>
      </c>
      <c r="D30" s="14">
        <v>45549</v>
      </c>
      <c r="E30" s="15">
        <f t="shared" si="26"/>
        <v>4</v>
      </c>
      <c r="F30" s="14">
        <v>45562</v>
      </c>
      <c r="G30" s="14">
        <v>45570</v>
      </c>
      <c r="H30" s="15">
        <f t="shared" si="27"/>
        <v>9</v>
      </c>
      <c r="I30" s="14">
        <v>45587</v>
      </c>
      <c r="J30" s="14">
        <v>45589</v>
      </c>
      <c r="K30" s="15">
        <f t="shared" si="1"/>
        <v>3</v>
      </c>
      <c r="L30" s="14">
        <v>45614</v>
      </c>
      <c r="M30" s="14">
        <v>45624</v>
      </c>
      <c r="N30" s="16">
        <f t="shared" si="2"/>
        <v>11</v>
      </c>
      <c r="O30" s="14">
        <v>45629</v>
      </c>
      <c r="P30" s="14">
        <v>45637</v>
      </c>
      <c r="Q30" s="16">
        <f t="shared" si="3"/>
        <v>9</v>
      </c>
      <c r="R30" s="14">
        <v>45644</v>
      </c>
      <c r="S30" s="17">
        <v>45657</v>
      </c>
      <c r="T30" s="30">
        <f t="shared" si="4"/>
        <v>14</v>
      </c>
      <c r="U30" s="33">
        <v>45837</v>
      </c>
      <c r="V30" s="33">
        <v>45847</v>
      </c>
      <c r="W30" s="30">
        <f t="shared" si="5"/>
        <v>11</v>
      </c>
      <c r="X30" s="14">
        <v>45847</v>
      </c>
      <c r="Y30" s="14">
        <v>45857</v>
      </c>
      <c r="Z30" s="30">
        <f t="shared" si="6"/>
        <v>11</v>
      </c>
      <c r="AA30" s="14">
        <v>45858</v>
      </c>
      <c r="AB30" s="14">
        <v>45864</v>
      </c>
      <c r="AC30" s="30">
        <f t="shared" si="7"/>
        <v>7</v>
      </c>
      <c r="AD30" s="14">
        <v>45875</v>
      </c>
      <c r="AE30" s="14">
        <v>45883</v>
      </c>
      <c r="AF30" s="30">
        <f t="shared" si="8"/>
        <v>9</v>
      </c>
      <c r="AG30" s="14">
        <v>45885</v>
      </c>
      <c r="AH30" s="14">
        <v>45892</v>
      </c>
      <c r="AI30" s="30">
        <f t="shared" si="9"/>
        <v>8</v>
      </c>
      <c r="AJ30" s="14">
        <v>45915</v>
      </c>
      <c r="AK30" s="14">
        <v>45930</v>
      </c>
      <c r="AL30" s="30">
        <f t="shared" si="10"/>
        <v>16</v>
      </c>
      <c r="AM30" s="14">
        <v>45931</v>
      </c>
      <c r="AN30" s="14">
        <v>45943</v>
      </c>
      <c r="AO30" s="30">
        <f t="shared" si="11"/>
        <v>13</v>
      </c>
      <c r="AP30" s="14"/>
      <c r="AQ30" s="14"/>
      <c r="AR30" s="30">
        <f t="shared" si="12"/>
        <v>1</v>
      </c>
      <c r="AS30" s="14"/>
      <c r="AT30" s="14"/>
      <c r="AU30" s="30">
        <f t="shared" si="13"/>
        <v>1</v>
      </c>
      <c r="AV30" s="14"/>
      <c r="AW30" s="14"/>
      <c r="AX30" s="30">
        <f t="shared" si="14"/>
        <v>1</v>
      </c>
      <c r="AY30" s="14"/>
      <c r="AZ30" s="14"/>
      <c r="BA30" s="30">
        <f t="shared" si="15"/>
        <v>1</v>
      </c>
      <c r="BB30" s="14"/>
      <c r="BC30" s="14"/>
      <c r="BD30" s="30">
        <f t="shared" si="16"/>
        <v>1</v>
      </c>
      <c r="BE30" s="14"/>
      <c r="BF30" s="14"/>
      <c r="BG30" s="30">
        <f t="shared" si="17"/>
        <v>1</v>
      </c>
      <c r="BH30" s="14"/>
      <c r="BI30" s="14"/>
      <c r="BJ30" s="30">
        <f t="shared" si="18"/>
        <v>1</v>
      </c>
      <c r="BK30" s="14"/>
      <c r="BL30" s="14"/>
      <c r="BM30" s="30">
        <f t="shared" si="19"/>
        <v>1</v>
      </c>
      <c r="BN30" s="14"/>
      <c r="BO30" s="14"/>
      <c r="BP30" s="30">
        <f t="shared" si="20"/>
        <v>1</v>
      </c>
      <c r="BQ30" s="14"/>
      <c r="BR30" s="14"/>
      <c r="BS30" s="30">
        <f t="shared" si="21"/>
        <v>1</v>
      </c>
      <c r="BT30" s="14"/>
      <c r="BU30" s="14"/>
      <c r="BV30" s="30">
        <f t="shared" si="22"/>
        <v>1</v>
      </c>
      <c r="BW30" s="14"/>
      <c r="BX30" s="14"/>
      <c r="BY30" s="30">
        <f t="shared" si="23"/>
        <v>1</v>
      </c>
      <c r="BZ30" s="14"/>
      <c r="CA30" s="14"/>
      <c r="CB30" s="30">
        <f t="shared" si="24"/>
        <v>1</v>
      </c>
      <c r="CC30" s="14"/>
      <c r="CD30" s="14"/>
      <c r="CE30" s="30">
        <f t="shared" si="25"/>
        <v>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</row>
    <row r="31" spans="1:95" s="1" customFormat="1" ht="14" x14ac:dyDescent="0.3">
      <c r="A31" s="12" t="s">
        <v>50</v>
      </c>
      <c r="B31" s="13">
        <v>45545</v>
      </c>
      <c r="C31" s="14">
        <v>45552</v>
      </c>
      <c r="D31" s="14">
        <v>45563</v>
      </c>
      <c r="E31" s="15">
        <f t="shared" si="26"/>
        <v>12</v>
      </c>
      <c r="F31" s="14">
        <v>45571</v>
      </c>
      <c r="G31" s="14">
        <v>45590</v>
      </c>
      <c r="H31" s="15">
        <f t="shared" si="27"/>
        <v>20</v>
      </c>
      <c r="I31" s="14">
        <v>45601</v>
      </c>
      <c r="J31" s="14">
        <v>45617</v>
      </c>
      <c r="K31" s="15">
        <f t="shared" si="1"/>
        <v>17</v>
      </c>
      <c r="L31" s="14">
        <v>45617</v>
      </c>
      <c r="M31" s="14">
        <v>45626</v>
      </c>
      <c r="N31" s="16">
        <f t="shared" si="2"/>
        <v>10</v>
      </c>
      <c r="O31" s="14">
        <v>45644</v>
      </c>
      <c r="P31" s="17">
        <v>45657</v>
      </c>
      <c r="Q31" s="16">
        <f t="shared" si="3"/>
        <v>14</v>
      </c>
      <c r="R31" s="33">
        <v>45826</v>
      </c>
      <c r="S31" s="33">
        <v>45842</v>
      </c>
      <c r="T31" s="30">
        <f t="shared" si="4"/>
        <v>17</v>
      </c>
      <c r="U31" s="14">
        <v>45843</v>
      </c>
      <c r="V31" s="14">
        <v>45855</v>
      </c>
      <c r="W31" s="30">
        <f t="shared" si="5"/>
        <v>13</v>
      </c>
      <c r="X31" s="14">
        <v>45856</v>
      </c>
      <c r="Y31" s="14">
        <v>45868</v>
      </c>
      <c r="Z31" s="30">
        <f t="shared" si="6"/>
        <v>13</v>
      </c>
      <c r="AA31" s="14">
        <v>45883</v>
      </c>
      <c r="AB31" s="14">
        <v>45897</v>
      </c>
      <c r="AC31" s="30">
        <f t="shared" si="7"/>
        <v>15</v>
      </c>
      <c r="AD31" s="14">
        <v>45926</v>
      </c>
      <c r="AE31" s="14"/>
      <c r="AF31" s="30">
        <f t="shared" si="8"/>
        <v>-45925</v>
      </c>
      <c r="AG31" s="14"/>
      <c r="AH31" s="14"/>
      <c r="AI31" s="30">
        <f t="shared" si="9"/>
        <v>1</v>
      </c>
      <c r="AJ31" s="14"/>
      <c r="AK31" s="14"/>
      <c r="AL31" s="30">
        <f t="shared" si="10"/>
        <v>1</v>
      </c>
      <c r="AM31" s="14"/>
      <c r="AN31" s="14"/>
      <c r="AO31" s="30">
        <f t="shared" si="11"/>
        <v>1</v>
      </c>
      <c r="AP31" s="14"/>
      <c r="AQ31" s="14"/>
      <c r="AR31" s="30">
        <f t="shared" si="12"/>
        <v>1</v>
      </c>
      <c r="AS31" s="14"/>
      <c r="AT31" s="14"/>
      <c r="AU31" s="30">
        <f t="shared" si="13"/>
        <v>1</v>
      </c>
      <c r="AV31" s="14"/>
      <c r="AW31" s="14"/>
      <c r="AX31" s="30">
        <f t="shared" si="14"/>
        <v>1</v>
      </c>
      <c r="AY31" s="14"/>
      <c r="AZ31" s="14"/>
      <c r="BA31" s="30">
        <f t="shared" si="15"/>
        <v>1</v>
      </c>
      <c r="BB31" s="14"/>
      <c r="BC31" s="14"/>
      <c r="BD31" s="30">
        <f t="shared" si="16"/>
        <v>1</v>
      </c>
      <c r="BE31" s="14"/>
      <c r="BF31" s="14"/>
      <c r="BG31" s="30">
        <f t="shared" si="17"/>
        <v>1</v>
      </c>
      <c r="BH31" s="14"/>
      <c r="BI31" s="14"/>
      <c r="BJ31" s="30">
        <f t="shared" si="18"/>
        <v>1</v>
      </c>
      <c r="BK31" s="14"/>
      <c r="BL31" s="14"/>
      <c r="BM31" s="30">
        <f t="shared" si="19"/>
        <v>1</v>
      </c>
      <c r="BN31" s="14"/>
      <c r="BO31" s="14"/>
      <c r="BP31" s="30">
        <f t="shared" si="20"/>
        <v>1</v>
      </c>
      <c r="BQ31" s="14"/>
      <c r="BR31" s="14"/>
      <c r="BS31" s="30">
        <f t="shared" si="21"/>
        <v>1</v>
      </c>
      <c r="BT31" s="14"/>
      <c r="BU31" s="14"/>
      <c r="BV31" s="30">
        <f t="shared" si="22"/>
        <v>1</v>
      </c>
      <c r="BW31" s="14"/>
      <c r="BX31" s="14"/>
      <c r="BY31" s="30">
        <f t="shared" si="23"/>
        <v>1</v>
      </c>
      <c r="BZ31" s="14"/>
      <c r="CA31" s="14"/>
      <c r="CB31" s="30">
        <f t="shared" si="24"/>
        <v>1</v>
      </c>
      <c r="CC31" s="14"/>
      <c r="CD31" s="14"/>
      <c r="CE31" s="30">
        <f t="shared" si="25"/>
        <v>1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</row>
    <row r="32" spans="1:95" s="1" customFormat="1" ht="14" x14ac:dyDescent="0.3">
      <c r="A32" s="36" t="s">
        <v>51</v>
      </c>
      <c r="B32" s="13">
        <v>45552</v>
      </c>
      <c r="C32" s="14">
        <v>45559</v>
      </c>
      <c r="D32" s="14">
        <v>45570</v>
      </c>
      <c r="E32" s="15">
        <f t="shared" si="26"/>
        <v>12</v>
      </c>
      <c r="F32" s="14">
        <v>45572</v>
      </c>
      <c r="G32" s="14">
        <v>45587</v>
      </c>
      <c r="H32" s="15">
        <f t="shared" si="27"/>
        <v>16</v>
      </c>
      <c r="I32" s="14">
        <v>45591</v>
      </c>
      <c r="J32" s="14">
        <v>45598</v>
      </c>
      <c r="K32" s="15">
        <f t="shared" si="1"/>
        <v>8</v>
      </c>
      <c r="L32" s="14">
        <v>45604</v>
      </c>
      <c r="M32" s="14">
        <v>45610</v>
      </c>
      <c r="N32" s="16">
        <f t="shared" si="2"/>
        <v>7</v>
      </c>
      <c r="O32" s="14">
        <v>45614</v>
      </c>
      <c r="P32" s="14">
        <v>45619</v>
      </c>
      <c r="Q32" s="16">
        <f t="shared" si="3"/>
        <v>6</v>
      </c>
      <c r="R32" s="14">
        <v>45619</v>
      </c>
      <c r="S32" s="14">
        <v>45625</v>
      </c>
      <c r="T32" s="30">
        <f t="shared" si="4"/>
        <v>7</v>
      </c>
      <c r="U32" s="14">
        <v>45626</v>
      </c>
      <c r="V32" s="14">
        <v>45631</v>
      </c>
      <c r="W32" s="30">
        <f t="shared" si="5"/>
        <v>6</v>
      </c>
      <c r="X32" s="14">
        <v>45639</v>
      </c>
      <c r="Y32" s="17">
        <v>45657</v>
      </c>
      <c r="Z32" s="30">
        <f t="shared" si="6"/>
        <v>19</v>
      </c>
      <c r="AA32" s="33">
        <v>45826</v>
      </c>
      <c r="AB32" s="33">
        <v>45842</v>
      </c>
      <c r="AC32" s="30">
        <f t="shared" si="7"/>
        <v>17</v>
      </c>
      <c r="AD32" s="14">
        <v>45857</v>
      </c>
      <c r="AE32" s="14">
        <v>45863</v>
      </c>
      <c r="AF32" s="30">
        <f t="shared" si="8"/>
        <v>7</v>
      </c>
      <c r="AG32" s="14">
        <v>45880</v>
      </c>
      <c r="AH32" s="14">
        <v>45886</v>
      </c>
      <c r="AI32" s="30">
        <f t="shared" si="9"/>
        <v>7</v>
      </c>
      <c r="AJ32" s="14">
        <v>45911</v>
      </c>
      <c r="AK32" s="14">
        <v>45918</v>
      </c>
      <c r="AL32" s="30">
        <f t="shared" si="10"/>
        <v>8</v>
      </c>
      <c r="AM32" s="14"/>
      <c r="AN32" s="14"/>
      <c r="AO32" s="30">
        <f t="shared" si="11"/>
        <v>1</v>
      </c>
      <c r="AP32" s="14"/>
      <c r="AQ32" s="14"/>
      <c r="AR32" s="30">
        <f t="shared" si="12"/>
        <v>1</v>
      </c>
      <c r="AS32" s="14"/>
      <c r="AT32" s="14"/>
      <c r="AU32" s="30">
        <f t="shared" si="13"/>
        <v>1</v>
      </c>
      <c r="AV32" s="14"/>
      <c r="AW32" s="14"/>
      <c r="AX32" s="30">
        <f t="shared" si="14"/>
        <v>1</v>
      </c>
      <c r="AY32" s="14"/>
      <c r="AZ32" s="14"/>
      <c r="BA32" s="30">
        <f t="shared" si="15"/>
        <v>1</v>
      </c>
      <c r="BB32" s="14"/>
      <c r="BC32" s="14"/>
      <c r="BD32" s="30">
        <f t="shared" si="16"/>
        <v>1</v>
      </c>
      <c r="BE32" s="14"/>
      <c r="BF32" s="14"/>
      <c r="BG32" s="30">
        <f t="shared" si="17"/>
        <v>1</v>
      </c>
      <c r="BH32" s="14"/>
      <c r="BI32" s="14"/>
      <c r="BJ32" s="30">
        <f t="shared" si="18"/>
        <v>1</v>
      </c>
      <c r="BK32" s="14"/>
      <c r="BL32" s="14"/>
      <c r="BM32" s="30">
        <f t="shared" si="19"/>
        <v>1</v>
      </c>
      <c r="BN32" s="14"/>
      <c r="BO32" s="14"/>
      <c r="BP32" s="30">
        <f t="shared" si="20"/>
        <v>1</v>
      </c>
      <c r="BQ32" s="14"/>
      <c r="BR32" s="14"/>
      <c r="BS32" s="30">
        <f t="shared" si="21"/>
        <v>1</v>
      </c>
      <c r="BT32" s="14"/>
      <c r="BU32" s="14"/>
      <c r="BV32" s="30">
        <f t="shared" si="22"/>
        <v>1</v>
      </c>
      <c r="BW32" s="14"/>
      <c r="BX32" s="14"/>
      <c r="BY32" s="30">
        <f t="shared" si="23"/>
        <v>1</v>
      </c>
      <c r="BZ32" s="14"/>
      <c r="CA32" s="14"/>
      <c r="CB32" s="30">
        <f t="shared" si="24"/>
        <v>1</v>
      </c>
      <c r="CC32" s="14"/>
      <c r="CD32" s="14"/>
      <c r="CE32" s="30">
        <f t="shared" si="25"/>
        <v>1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</row>
    <row r="33" spans="1:95" s="1" customFormat="1" ht="14" x14ac:dyDescent="0.3">
      <c r="A33" s="12" t="s">
        <v>52</v>
      </c>
      <c r="B33" s="13">
        <v>45552</v>
      </c>
      <c r="C33" s="14">
        <v>45569</v>
      </c>
      <c r="D33" s="14">
        <v>45571</v>
      </c>
      <c r="E33" s="15">
        <f t="shared" si="26"/>
        <v>3</v>
      </c>
      <c r="F33" s="14">
        <v>45572</v>
      </c>
      <c r="G33" s="14">
        <v>45575</v>
      </c>
      <c r="H33" s="15">
        <f t="shared" si="27"/>
        <v>4</v>
      </c>
      <c r="I33" s="14">
        <v>45584</v>
      </c>
      <c r="J33" s="14">
        <v>45602</v>
      </c>
      <c r="K33" s="15">
        <f t="shared" si="1"/>
        <v>19</v>
      </c>
      <c r="L33" s="14">
        <v>45610</v>
      </c>
      <c r="M33" s="14">
        <v>45615</v>
      </c>
      <c r="N33" s="16">
        <f t="shared" si="2"/>
        <v>6</v>
      </c>
      <c r="O33" s="14">
        <v>45622</v>
      </c>
      <c r="P33" s="14">
        <v>45625</v>
      </c>
      <c r="Q33" s="16">
        <f t="shared" si="3"/>
        <v>4</v>
      </c>
      <c r="R33" s="17">
        <v>45657</v>
      </c>
      <c r="S33" s="17">
        <v>45657</v>
      </c>
      <c r="T33" s="30">
        <f t="shared" si="4"/>
        <v>1</v>
      </c>
      <c r="U33" s="14">
        <v>45857</v>
      </c>
      <c r="V33" s="14">
        <v>45863</v>
      </c>
      <c r="W33" s="30">
        <f t="shared" si="5"/>
        <v>7</v>
      </c>
      <c r="X33" s="14">
        <v>45865</v>
      </c>
      <c r="Y33" s="14">
        <v>45867</v>
      </c>
      <c r="Z33" s="30">
        <f t="shared" si="6"/>
        <v>3</v>
      </c>
      <c r="AA33" s="14">
        <v>45877</v>
      </c>
      <c r="AB33" s="14">
        <v>45883</v>
      </c>
      <c r="AC33" s="30">
        <f t="shared" si="7"/>
        <v>7</v>
      </c>
      <c r="AD33" s="14">
        <v>45899</v>
      </c>
      <c r="AE33" s="14">
        <v>45907</v>
      </c>
      <c r="AF33" s="30">
        <f t="shared" si="8"/>
        <v>9</v>
      </c>
      <c r="AG33" s="14">
        <v>45908</v>
      </c>
      <c r="AH33" s="14">
        <v>45910</v>
      </c>
      <c r="AI33" s="30">
        <f t="shared" si="9"/>
        <v>3</v>
      </c>
      <c r="AJ33" s="14">
        <v>45923</v>
      </c>
      <c r="AK33" s="14">
        <v>45928</v>
      </c>
      <c r="AL33" s="30">
        <f t="shared" si="10"/>
        <v>6</v>
      </c>
      <c r="AM33" s="14">
        <v>45934</v>
      </c>
      <c r="AN33" s="14">
        <v>45938</v>
      </c>
      <c r="AO33" s="30">
        <f t="shared" si="11"/>
        <v>5</v>
      </c>
      <c r="AP33" s="14">
        <v>45942</v>
      </c>
      <c r="AQ33" s="14"/>
      <c r="AR33" s="30">
        <f t="shared" si="12"/>
        <v>-45941</v>
      </c>
      <c r="AS33" s="14"/>
      <c r="AT33" s="14"/>
      <c r="AU33" s="30">
        <f t="shared" si="13"/>
        <v>1</v>
      </c>
      <c r="AV33" s="14"/>
      <c r="AW33" s="14"/>
      <c r="AX33" s="30">
        <f t="shared" si="14"/>
        <v>1</v>
      </c>
      <c r="AY33" s="14"/>
      <c r="AZ33" s="14"/>
      <c r="BA33" s="30">
        <f t="shared" si="15"/>
        <v>1</v>
      </c>
      <c r="BB33" s="14"/>
      <c r="BC33" s="14"/>
      <c r="BD33" s="30">
        <f t="shared" si="16"/>
        <v>1</v>
      </c>
      <c r="BE33" s="14"/>
      <c r="BF33" s="14"/>
      <c r="BG33" s="30">
        <f t="shared" si="17"/>
        <v>1</v>
      </c>
      <c r="BH33" s="14"/>
      <c r="BI33" s="14"/>
      <c r="BJ33" s="30">
        <f t="shared" si="18"/>
        <v>1</v>
      </c>
      <c r="BK33" s="14"/>
      <c r="BL33" s="14"/>
      <c r="BM33" s="30">
        <f t="shared" si="19"/>
        <v>1</v>
      </c>
      <c r="BN33" s="14"/>
      <c r="BO33" s="14"/>
      <c r="BP33" s="30">
        <f t="shared" si="20"/>
        <v>1</v>
      </c>
      <c r="BQ33" s="14"/>
      <c r="BR33" s="14"/>
      <c r="BS33" s="30">
        <f t="shared" si="21"/>
        <v>1</v>
      </c>
      <c r="BT33" s="14"/>
      <c r="BU33" s="14"/>
      <c r="BV33" s="30">
        <f t="shared" si="22"/>
        <v>1</v>
      </c>
      <c r="BW33" s="14"/>
      <c r="BX33" s="14"/>
      <c r="BY33" s="30">
        <f t="shared" si="23"/>
        <v>1</v>
      </c>
      <c r="BZ33" s="14"/>
      <c r="CA33" s="14"/>
      <c r="CB33" s="30">
        <f t="shared" si="24"/>
        <v>1</v>
      </c>
      <c r="CC33" s="14"/>
      <c r="CD33" s="14"/>
      <c r="CE33" s="30">
        <f t="shared" si="25"/>
        <v>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</row>
    <row r="34" spans="1:95" s="1" customFormat="1" ht="14" x14ac:dyDescent="0.3">
      <c r="A34" s="12" t="s">
        <v>53</v>
      </c>
      <c r="B34" s="13">
        <v>45563</v>
      </c>
      <c r="C34" s="14">
        <v>45572</v>
      </c>
      <c r="D34" s="14">
        <v>45579</v>
      </c>
      <c r="E34" s="15">
        <f t="shared" si="26"/>
        <v>8</v>
      </c>
      <c r="F34" s="14">
        <v>45590</v>
      </c>
      <c r="G34" s="14">
        <v>45615</v>
      </c>
      <c r="H34" s="15">
        <f t="shared" si="27"/>
        <v>26</v>
      </c>
      <c r="I34" s="14">
        <v>45616</v>
      </c>
      <c r="J34" s="14">
        <v>45622</v>
      </c>
      <c r="K34" s="15">
        <f t="shared" si="1"/>
        <v>7</v>
      </c>
      <c r="L34" s="17">
        <v>45657</v>
      </c>
      <c r="M34" s="17">
        <v>45657</v>
      </c>
      <c r="N34" s="16">
        <f t="shared" si="2"/>
        <v>1</v>
      </c>
      <c r="O34" s="33">
        <v>45811</v>
      </c>
      <c r="P34" s="33">
        <v>45825</v>
      </c>
      <c r="Q34" s="16">
        <f t="shared" si="3"/>
        <v>15</v>
      </c>
      <c r="R34" s="14">
        <v>45830</v>
      </c>
      <c r="S34" s="14">
        <v>45836</v>
      </c>
      <c r="T34" s="30">
        <f t="shared" si="4"/>
        <v>7</v>
      </c>
      <c r="U34" s="14">
        <v>45875</v>
      </c>
      <c r="V34" s="14">
        <v>45885</v>
      </c>
      <c r="W34" s="30">
        <f t="shared" si="5"/>
        <v>11</v>
      </c>
      <c r="X34" s="14">
        <v>45886</v>
      </c>
      <c r="Y34" s="14">
        <v>45895</v>
      </c>
      <c r="Z34" s="30">
        <f t="shared" si="6"/>
        <v>10</v>
      </c>
      <c r="AA34" s="14">
        <v>45904</v>
      </c>
      <c r="AB34" s="14">
        <v>45911</v>
      </c>
      <c r="AC34" s="30">
        <f t="shared" si="7"/>
        <v>8</v>
      </c>
      <c r="AD34" s="14">
        <v>45912</v>
      </c>
      <c r="AE34" s="14">
        <v>45919</v>
      </c>
      <c r="AF34" s="30">
        <f t="shared" si="8"/>
        <v>8</v>
      </c>
      <c r="AG34" s="14">
        <v>45942</v>
      </c>
      <c r="AH34" s="14"/>
      <c r="AI34" s="30">
        <f t="shared" si="9"/>
        <v>-45941</v>
      </c>
      <c r="AJ34" s="14"/>
      <c r="AK34" s="14"/>
      <c r="AL34" s="30">
        <f t="shared" si="10"/>
        <v>1</v>
      </c>
      <c r="AM34" s="14"/>
      <c r="AN34" s="14"/>
      <c r="AO34" s="30">
        <f t="shared" si="11"/>
        <v>1</v>
      </c>
      <c r="AP34" s="14"/>
      <c r="AQ34" s="14"/>
      <c r="AR34" s="30">
        <f t="shared" si="12"/>
        <v>1</v>
      </c>
      <c r="AS34" s="14"/>
      <c r="AT34" s="14"/>
      <c r="AU34" s="30">
        <f t="shared" si="13"/>
        <v>1</v>
      </c>
      <c r="AV34" s="14"/>
      <c r="AW34" s="14"/>
      <c r="AX34" s="30">
        <f t="shared" si="14"/>
        <v>1</v>
      </c>
      <c r="AY34" s="14"/>
      <c r="AZ34" s="14"/>
      <c r="BA34" s="30">
        <f t="shared" si="15"/>
        <v>1</v>
      </c>
      <c r="BB34" s="14"/>
      <c r="BC34" s="14"/>
      <c r="BD34" s="30">
        <f t="shared" si="16"/>
        <v>1</v>
      </c>
      <c r="BE34" s="14"/>
      <c r="BF34" s="14"/>
      <c r="BG34" s="30">
        <f t="shared" si="17"/>
        <v>1</v>
      </c>
      <c r="BH34" s="14"/>
      <c r="BI34" s="14"/>
      <c r="BJ34" s="30">
        <f t="shared" si="18"/>
        <v>1</v>
      </c>
      <c r="BK34" s="14"/>
      <c r="BL34" s="14"/>
      <c r="BM34" s="30">
        <f t="shared" si="19"/>
        <v>1</v>
      </c>
      <c r="BN34" s="14"/>
      <c r="BO34" s="14"/>
      <c r="BP34" s="30">
        <f t="shared" si="20"/>
        <v>1</v>
      </c>
      <c r="BQ34" s="14"/>
      <c r="BR34" s="14"/>
      <c r="BS34" s="30">
        <f t="shared" si="21"/>
        <v>1</v>
      </c>
      <c r="BT34" s="14"/>
      <c r="BU34" s="14"/>
      <c r="BV34" s="30">
        <f t="shared" si="22"/>
        <v>1</v>
      </c>
      <c r="BW34" s="14"/>
      <c r="BX34" s="14"/>
      <c r="BY34" s="30">
        <f t="shared" si="23"/>
        <v>1</v>
      </c>
      <c r="BZ34" s="14"/>
      <c r="CA34" s="14"/>
      <c r="CB34" s="30">
        <f t="shared" si="24"/>
        <v>1</v>
      </c>
      <c r="CC34" s="14"/>
      <c r="CD34" s="14"/>
      <c r="CE34" s="30">
        <f t="shared" si="25"/>
        <v>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</row>
    <row r="35" spans="1:95" s="1" customFormat="1" ht="14" x14ac:dyDescent="0.3">
      <c r="A35" s="12" t="s">
        <v>13</v>
      </c>
      <c r="B35" s="13">
        <v>45563</v>
      </c>
      <c r="C35" s="14">
        <v>45575</v>
      </c>
      <c r="D35" s="14">
        <v>45594</v>
      </c>
      <c r="E35" s="15">
        <f t="shared" si="26"/>
        <v>20</v>
      </c>
      <c r="F35" s="14">
        <v>45594</v>
      </c>
      <c r="G35" s="14">
        <v>45598</v>
      </c>
      <c r="H35" s="15">
        <f t="shared" si="27"/>
        <v>5</v>
      </c>
      <c r="I35" s="14">
        <v>45601</v>
      </c>
      <c r="J35" s="14">
        <v>45604</v>
      </c>
      <c r="K35" s="15">
        <f t="shared" si="1"/>
        <v>4</v>
      </c>
      <c r="L35" s="14">
        <v>45614</v>
      </c>
      <c r="M35" s="14">
        <v>45617</v>
      </c>
      <c r="N35" s="16">
        <f t="shared" si="2"/>
        <v>4</v>
      </c>
      <c r="O35" s="14">
        <v>45630</v>
      </c>
      <c r="P35" s="14">
        <v>45634</v>
      </c>
      <c r="Q35" s="16">
        <f t="shared" si="3"/>
        <v>5</v>
      </c>
      <c r="R35" s="17">
        <v>45657</v>
      </c>
      <c r="S35" s="17">
        <v>45657</v>
      </c>
      <c r="T35" s="30">
        <f t="shared" si="4"/>
        <v>1</v>
      </c>
      <c r="U35" s="33">
        <v>45832</v>
      </c>
      <c r="V35" s="33">
        <v>45841</v>
      </c>
      <c r="W35" s="30">
        <f t="shared" si="5"/>
        <v>10</v>
      </c>
      <c r="X35" s="14">
        <v>45859</v>
      </c>
      <c r="Y35" s="14">
        <v>45863</v>
      </c>
      <c r="Z35" s="30">
        <f t="shared" si="6"/>
        <v>5</v>
      </c>
      <c r="AA35" s="14">
        <v>45882</v>
      </c>
      <c r="AB35" s="14">
        <v>45888</v>
      </c>
      <c r="AC35" s="30">
        <f t="shared" si="7"/>
        <v>7</v>
      </c>
      <c r="AD35" s="14">
        <v>45907</v>
      </c>
      <c r="AE35" s="14">
        <v>45914</v>
      </c>
      <c r="AF35" s="30">
        <f t="shared" si="8"/>
        <v>8</v>
      </c>
      <c r="AG35" s="14">
        <v>45920</v>
      </c>
      <c r="AH35" s="14">
        <v>45925</v>
      </c>
      <c r="AI35" s="30">
        <f t="shared" si="9"/>
        <v>6</v>
      </c>
      <c r="AJ35" s="14">
        <v>45931</v>
      </c>
      <c r="AK35" s="14"/>
      <c r="AL35" s="30">
        <f t="shared" si="10"/>
        <v>-45930</v>
      </c>
      <c r="AM35" s="14"/>
      <c r="AN35" s="14"/>
      <c r="AO35" s="30">
        <f t="shared" si="11"/>
        <v>1</v>
      </c>
      <c r="AP35" s="14"/>
      <c r="AQ35" s="14"/>
      <c r="AR35" s="30">
        <f t="shared" si="12"/>
        <v>1</v>
      </c>
      <c r="AS35" s="14"/>
      <c r="AT35" s="14"/>
      <c r="AU35" s="30">
        <f t="shared" si="13"/>
        <v>1</v>
      </c>
      <c r="AV35" s="14"/>
      <c r="AW35" s="14"/>
      <c r="AX35" s="30">
        <f t="shared" si="14"/>
        <v>1</v>
      </c>
      <c r="AY35" s="14"/>
      <c r="AZ35" s="14"/>
      <c r="BA35" s="30">
        <f t="shared" si="15"/>
        <v>1</v>
      </c>
      <c r="BB35" s="14"/>
      <c r="BC35" s="14"/>
      <c r="BD35" s="30">
        <f t="shared" si="16"/>
        <v>1</v>
      </c>
      <c r="BE35" s="14"/>
      <c r="BF35" s="14"/>
      <c r="BG35" s="30">
        <f t="shared" si="17"/>
        <v>1</v>
      </c>
      <c r="BH35" s="14"/>
      <c r="BI35" s="14"/>
      <c r="BJ35" s="30">
        <f t="shared" si="18"/>
        <v>1</v>
      </c>
      <c r="BK35" s="14"/>
      <c r="BL35" s="14"/>
      <c r="BM35" s="30">
        <f t="shared" si="19"/>
        <v>1</v>
      </c>
      <c r="BN35" s="14"/>
      <c r="BO35" s="14"/>
      <c r="BP35" s="30">
        <f t="shared" si="20"/>
        <v>1</v>
      </c>
      <c r="BQ35" s="14"/>
      <c r="BR35" s="14"/>
      <c r="BS35" s="30">
        <f t="shared" si="21"/>
        <v>1</v>
      </c>
      <c r="BT35" s="14"/>
      <c r="BU35" s="14"/>
      <c r="BV35" s="30">
        <f t="shared" si="22"/>
        <v>1</v>
      </c>
      <c r="BW35" s="12"/>
      <c r="BX35" s="12"/>
      <c r="BY35" s="30">
        <f t="shared" si="23"/>
        <v>1</v>
      </c>
      <c r="BZ35" s="14"/>
      <c r="CA35" s="14"/>
      <c r="CB35" s="30">
        <f t="shared" si="24"/>
        <v>1</v>
      </c>
      <c r="CC35" s="14"/>
      <c r="CD35" s="14"/>
      <c r="CE35" s="30">
        <f t="shared" si="25"/>
        <v>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</row>
    <row r="36" spans="1:95" s="1" customFormat="1" ht="14" x14ac:dyDescent="0.3">
      <c r="A36" s="9" t="s">
        <v>54</v>
      </c>
      <c r="B36" s="13">
        <v>45571</v>
      </c>
      <c r="C36" s="14">
        <v>45572</v>
      </c>
      <c r="D36" s="14">
        <v>45583</v>
      </c>
      <c r="E36" s="15">
        <f t="shared" si="26"/>
        <v>12</v>
      </c>
      <c r="F36" s="14">
        <v>45591</v>
      </c>
      <c r="G36" s="14">
        <v>45599</v>
      </c>
      <c r="H36" s="15">
        <f t="shared" si="27"/>
        <v>9</v>
      </c>
      <c r="I36" s="14">
        <v>45608</v>
      </c>
      <c r="J36" s="14">
        <v>45638</v>
      </c>
      <c r="K36" s="15">
        <f t="shared" si="1"/>
        <v>31</v>
      </c>
      <c r="L36" s="14">
        <v>45639</v>
      </c>
      <c r="M36" s="14">
        <v>45656</v>
      </c>
      <c r="N36" s="16">
        <f t="shared" si="2"/>
        <v>18</v>
      </c>
      <c r="O36" s="17">
        <v>45657</v>
      </c>
      <c r="P36" s="17">
        <v>45657</v>
      </c>
      <c r="Q36" s="16">
        <f t="shared" si="3"/>
        <v>1</v>
      </c>
      <c r="R36" s="33">
        <v>45814</v>
      </c>
      <c r="S36" s="33">
        <v>45834</v>
      </c>
      <c r="T36" s="30">
        <f t="shared" si="4"/>
        <v>21</v>
      </c>
      <c r="U36" s="14">
        <v>45838</v>
      </c>
      <c r="V36" s="14">
        <v>45843</v>
      </c>
      <c r="W36" s="30">
        <f t="shared" si="5"/>
        <v>6</v>
      </c>
      <c r="X36" s="14">
        <v>45856</v>
      </c>
      <c r="Y36" s="14">
        <v>45861</v>
      </c>
      <c r="Z36" s="30">
        <f t="shared" si="6"/>
        <v>6</v>
      </c>
      <c r="AA36" s="14">
        <v>45878</v>
      </c>
      <c r="AB36" s="14">
        <v>45892</v>
      </c>
      <c r="AC36" s="30">
        <f t="shared" si="7"/>
        <v>15</v>
      </c>
      <c r="AD36" s="14">
        <v>45893</v>
      </c>
      <c r="AE36" s="14">
        <v>45909</v>
      </c>
      <c r="AF36" s="30">
        <f t="shared" si="8"/>
        <v>17</v>
      </c>
      <c r="AG36" s="14">
        <v>45911</v>
      </c>
      <c r="AH36" s="14">
        <v>45920</v>
      </c>
      <c r="AI36" s="30">
        <f t="shared" si="9"/>
        <v>10</v>
      </c>
      <c r="AJ36" s="14">
        <v>45931</v>
      </c>
      <c r="AK36" s="14">
        <v>45940</v>
      </c>
      <c r="AL36" s="30">
        <f t="shared" si="10"/>
        <v>10</v>
      </c>
      <c r="AM36" s="14">
        <v>45943</v>
      </c>
      <c r="AN36" s="14"/>
      <c r="AO36" s="30">
        <f t="shared" si="11"/>
        <v>-45942</v>
      </c>
      <c r="AP36" s="14"/>
      <c r="AQ36" s="14"/>
      <c r="AR36" s="30">
        <f t="shared" si="12"/>
        <v>1</v>
      </c>
      <c r="AS36" s="14"/>
      <c r="AT36" s="14"/>
      <c r="AU36" s="30">
        <f t="shared" si="13"/>
        <v>1</v>
      </c>
      <c r="AV36" s="14"/>
      <c r="AW36" s="14"/>
      <c r="AX36" s="30">
        <f t="shared" si="14"/>
        <v>1</v>
      </c>
      <c r="AY36" s="14"/>
      <c r="AZ36" s="14"/>
      <c r="BA36" s="30">
        <f t="shared" si="15"/>
        <v>1</v>
      </c>
      <c r="BB36" s="14"/>
      <c r="BC36" s="14"/>
      <c r="BD36" s="30">
        <f t="shared" si="16"/>
        <v>1</v>
      </c>
      <c r="BE36" s="14"/>
      <c r="BF36" s="14"/>
      <c r="BG36" s="30">
        <f t="shared" si="17"/>
        <v>1</v>
      </c>
      <c r="BH36" s="14"/>
      <c r="BI36" s="14"/>
      <c r="BJ36" s="30">
        <f t="shared" si="18"/>
        <v>1</v>
      </c>
      <c r="BK36" s="14"/>
      <c r="BL36" s="14"/>
      <c r="BM36" s="30">
        <f t="shared" si="19"/>
        <v>1</v>
      </c>
      <c r="BN36" s="14"/>
      <c r="BO36" s="14"/>
      <c r="BP36" s="30">
        <f t="shared" si="20"/>
        <v>1</v>
      </c>
      <c r="BQ36" s="14"/>
      <c r="BR36" s="14"/>
      <c r="BS36" s="30">
        <f t="shared" si="21"/>
        <v>1</v>
      </c>
      <c r="BT36" s="14"/>
      <c r="BU36" s="14"/>
      <c r="BV36" s="30">
        <f t="shared" si="22"/>
        <v>1</v>
      </c>
      <c r="BW36" s="12"/>
      <c r="BX36" s="12"/>
      <c r="BY36" s="30">
        <f t="shared" si="23"/>
        <v>1</v>
      </c>
      <c r="BZ36" s="14"/>
      <c r="CA36" s="14"/>
      <c r="CB36" s="30">
        <f t="shared" si="24"/>
        <v>1</v>
      </c>
      <c r="CC36" s="14"/>
      <c r="CD36" s="14"/>
      <c r="CE36" s="30">
        <f t="shared" si="25"/>
        <v>1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</row>
    <row r="37" spans="1:95" s="1" customFormat="1" ht="14" x14ac:dyDescent="0.3">
      <c r="A37" s="12" t="s">
        <v>55</v>
      </c>
      <c r="B37" s="13">
        <v>45572</v>
      </c>
      <c r="C37" s="14">
        <v>45576</v>
      </c>
      <c r="D37" s="14">
        <v>45582</v>
      </c>
      <c r="E37" s="15">
        <f t="shared" si="26"/>
        <v>7</v>
      </c>
      <c r="F37" s="14">
        <v>45590</v>
      </c>
      <c r="G37" s="14">
        <v>45594</v>
      </c>
      <c r="H37" s="15">
        <f t="shared" si="27"/>
        <v>5</v>
      </c>
      <c r="I37" s="14">
        <v>45605</v>
      </c>
      <c r="J37" s="14">
        <v>45609</v>
      </c>
      <c r="K37" s="15">
        <f t="shared" si="1"/>
        <v>5</v>
      </c>
      <c r="L37" s="14">
        <v>45619</v>
      </c>
      <c r="M37" s="14">
        <v>45626</v>
      </c>
      <c r="N37" s="16">
        <f t="shared" si="2"/>
        <v>8</v>
      </c>
      <c r="O37" s="14">
        <v>45630</v>
      </c>
      <c r="P37" s="14">
        <v>45637</v>
      </c>
      <c r="Q37" s="16">
        <f t="shared" si="3"/>
        <v>8</v>
      </c>
      <c r="R37" s="17">
        <v>45657</v>
      </c>
      <c r="S37" s="17">
        <v>45657</v>
      </c>
      <c r="T37" s="30">
        <f t="shared" si="4"/>
        <v>1</v>
      </c>
      <c r="U37" s="33">
        <v>45836</v>
      </c>
      <c r="V37" s="33">
        <v>45845</v>
      </c>
      <c r="W37" s="30">
        <f t="shared" si="5"/>
        <v>10</v>
      </c>
      <c r="X37" s="14">
        <v>45847</v>
      </c>
      <c r="Y37" s="14">
        <v>45860</v>
      </c>
      <c r="Z37" s="30">
        <f t="shared" si="6"/>
        <v>14</v>
      </c>
      <c r="AA37" s="14">
        <v>45861</v>
      </c>
      <c r="AB37" s="14">
        <v>45863</v>
      </c>
      <c r="AC37" s="30">
        <f t="shared" si="7"/>
        <v>3</v>
      </c>
      <c r="AD37" s="14">
        <v>45880</v>
      </c>
      <c r="AE37" s="14">
        <v>45885</v>
      </c>
      <c r="AF37" s="30">
        <f t="shared" si="8"/>
        <v>6</v>
      </c>
      <c r="AG37" s="14">
        <v>45896</v>
      </c>
      <c r="AH37" s="14">
        <v>45905</v>
      </c>
      <c r="AI37" s="30">
        <f t="shared" si="9"/>
        <v>10</v>
      </c>
      <c r="AJ37" s="14">
        <v>45906</v>
      </c>
      <c r="AK37" s="14">
        <v>45910</v>
      </c>
      <c r="AL37" s="30">
        <f t="shared" si="10"/>
        <v>5</v>
      </c>
      <c r="AM37" s="14">
        <v>45913</v>
      </c>
      <c r="AN37" s="14">
        <v>45919</v>
      </c>
      <c r="AO37" s="30">
        <f t="shared" si="11"/>
        <v>7</v>
      </c>
      <c r="AP37" s="14">
        <v>45941</v>
      </c>
      <c r="AQ37" s="14"/>
      <c r="AR37" s="30">
        <f t="shared" si="12"/>
        <v>-45940</v>
      </c>
      <c r="AS37" s="14"/>
      <c r="AT37" s="14"/>
      <c r="AU37" s="30">
        <f t="shared" si="13"/>
        <v>1</v>
      </c>
      <c r="AV37" s="14"/>
      <c r="AW37" s="14"/>
      <c r="AX37" s="30">
        <f t="shared" si="14"/>
        <v>1</v>
      </c>
      <c r="AY37" s="14"/>
      <c r="AZ37" s="14"/>
      <c r="BA37" s="30">
        <f t="shared" si="15"/>
        <v>1</v>
      </c>
      <c r="BB37" s="14"/>
      <c r="BC37" s="14"/>
      <c r="BD37" s="30">
        <f t="shared" si="16"/>
        <v>1</v>
      </c>
      <c r="BE37" s="14"/>
      <c r="BF37" s="14"/>
      <c r="BG37" s="30">
        <f t="shared" si="17"/>
        <v>1</v>
      </c>
      <c r="BH37" s="14"/>
      <c r="BI37" s="14"/>
      <c r="BJ37" s="30">
        <f t="shared" si="18"/>
        <v>1</v>
      </c>
      <c r="BK37" s="14"/>
      <c r="BL37" s="14"/>
      <c r="BM37" s="30">
        <f t="shared" si="19"/>
        <v>1</v>
      </c>
      <c r="BN37" s="14"/>
      <c r="BO37" s="14"/>
      <c r="BP37" s="30">
        <f t="shared" si="20"/>
        <v>1</v>
      </c>
      <c r="BQ37" s="14"/>
      <c r="BR37" s="14"/>
      <c r="BS37" s="30">
        <f t="shared" si="21"/>
        <v>1</v>
      </c>
      <c r="BT37" s="14"/>
      <c r="BU37" s="14"/>
      <c r="BV37" s="30">
        <f t="shared" si="22"/>
        <v>1</v>
      </c>
      <c r="BW37" s="12"/>
      <c r="BX37" s="12"/>
      <c r="BY37" s="30">
        <f t="shared" si="23"/>
        <v>1</v>
      </c>
      <c r="BZ37" s="14"/>
      <c r="CA37" s="14"/>
      <c r="CB37" s="30">
        <f t="shared" si="24"/>
        <v>1</v>
      </c>
      <c r="CC37" s="14"/>
      <c r="CD37" s="14"/>
      <c r="CE37" s="30">
        <f t="shared" si="25"/>
        <v>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</row>
    <row r="38" spans="1:95" s="1" customFormat="1" ht="14" x14ac:dyDescent="0.3">
      <c r="A38" s="12" t="s">
        <v>56</v>
      </c>
      <c r="B38" s="13">
        <v>45578</v>
      </c>
      <c r="C38" s="14">
        <v>45586</v>
      </c>
      <c r="D38" s="14">
        <v>45597</v>
      </c>
      <c r="E38" s="15">
        <f t="shared" si="26"/>
        <v>12</v>
      </c>
      <c r="F38" s="14">
        <v>45598</v>
      </c>
      <c r="G38" s="14">
        <v>45605</v>
      </c>
      <c r="H38" s="15">
        <f t="shared" si="27"/>
        <v>8</v>
      </c>
      <c r="I38" s="14">
        <v>45607</v>
      </c>
      <c r="J38" s="14">
        <v>45612</v>
      </c>
      <c r="K38" s="15">
        <f t="shared" si="1"/>
        <v>6</v>
      </c>
      <c r="L38" s="14">
        <v>45617</v>
      </c>
      <c r="M38" s="14">
        <v>45625</v>
      </c>
      <c r="N38" s="16">
        <f t="shared" si="2"/>
        <v>9</v>
      </c>
      <c r="O38" s="14">
        <v>45630</v>
      </c>
      <c r="P38" s="14">
        <v>45638</v>
      </c>
      <c r="Q38" s="16">
        <f t="shared" si="3"/>
        <v>9</v>
      </c>
      <c r="R38" s="17">
        <v>45657</v>
      </c>
      <c r="S38" s="17">
        <v>45657</v>
      </c>
      <c r="T38" s="30">
        <f t="shared" si="4"/>
        <v>1</v>
      </c>
      <c r="U38" s="33">
        <v>45807</v>
      </c>
      <c r="V38" s="33">
        <v>45830</v>
      </c>
      <c r="W38" s="30">
        <f t="shared" si="5"/>
        <v>24</v>
      </c>
      <c r="X38" s="14">
        <v>45831</v>
      </c>
      <c r="Y38" s="14">
        <v>45839</v>
      </c>
      <c r="Z38" s="30">
        <f t="shared" si="6"/>
        <v>9</v>
      </c>
      <c r="AA38" s="14">
        <v>45844</v>
      </c>
      <c r="AB38" s="14">
        <v>45852</v>
      </c>
      <c r="AC38" s="30">
        <f t="shared" si="7"/>
        <v>9</v>
      </c>
      <c r="AD38" s="14">
        <v>45852</v>
      </c>
      <c r="AE38" s="14">
        <v>45861</v>
      </c>
      <c r="AF38" s="30">
        <f t="shared" si="8"/>
        <v>10</v>
      </c>
      <c r="AG38" s="14">
        <v>45875</v>
      </c>
      <c r="AH38" s="14">
        <v>45885</v>
      </c>
      <c r="AI38" s="30">
        <f t="shared" si="9"/>
        <v>11</v>
      </c>
      <c r="AJ38" s="14">
        <v>45886</v>
      </c>
      <c r="AK38" s="14">
        <v>45896</v>
      </c>
      <c r="AL38" s="30">
        <f t="shared" si="10"/>
        <v>11</v>
      </c>
      <c r="AM38" s="14">
        <v>45896</v>
      </c>
      <c r="AN38" s="14">
        <v>45907</v>
      </c>
      <c r="AO38" s="30">
        <f t="shared" si="11"/>
        <v>12</v>
      </c>
      <c r="AP38" s="14">
        <v>45907</v>
      </c>
      <c r="AQ38" s="14">
        <v>45912</v>
      </c>
      <c r="AR38" s="30">
        <f t="shared" si="12"/>
        <v>6</v>
      </c>
      <c r="AS38" s="14">
        <v>45912</v>
      </c>
      <c r="AT38" s="14">
        <v>45922</v>
      </c>
      <c r="AU38" s="49">
        <f t="shared" si="13"/>
        <v>11</v>
      </c>
      <c r="AV38" s="14">
        <v>45929</v>
      </c>
      <c r="AW38" s="14">
        <v>45935</v>
      </c>
      <c r="AX38" s="30">
        <f t="shared" si="14"/>
        <v>7</v>
      </c>
      <c r="AY38" s="14">
        <v>45936</v>
      </c>
      <c r="AZ38" s="14"/>
      <c r="BA38" s="30">
        <f t="shared" si="15"/>
        <v>-45935</v>
      </c>
      <c r="BB38" s="14"/>
      <c r="BC38" s="14"/>
      <c r="BD38" s="30">
        <f t="shared" si="16"/>
        <v>1</v>
      </c>
      <c r="BE38" s="14"/>
      <c r="BF38" s="14"/>
      <c r="BG38" s="30">
        <f t="shared" si="17"/>
        <v>1</v>
      </c>
      <c r="BH38" s="14"/>
      <c r="BI38" s="14"/>
      <c r="BJ38" s="30">
        <f t="shared" si="18"/>
        <v>1</v>
      </c>
      <c r="BK38" s="14"/>
      <c r="BL38" s="14"/>
      <c r="BM38" s="30">
        <f t="shared" si="19"/>
        <v>1</v>
      </c>
      <c r="BN38" s="12"/>
      <c r="BO38" s="12"/>
      <c r="BP38" s="30">
        <f t="shared" si="20"/>
        <v>1</v>
      </c>
      <c r="BQ38" s="14"/>
      <c r="BR38" s="14"/>
      <c r="BS38" s="30">
        <f t="shared" si="21"/>
        <v>1</v>
      </c>
      <c r="BT38" s="12"/>
      <c r="BU38" s="12"/>
      <c r="BV38" s="30">
        <f t="shared" si="22"/>
        <v>1</v>
      </c>
      <c r="BW38" s="12"/>
      <c r="BX38" s="12"/>
      <c r="BY38" s="30">
        <f t="shared" si="23"/>
        <v>1</v>
      </c>
      <c r="BZ38" s="14"/>
      <c r="CA38" s="14"/>
      <c r="CB38" s="30">
        <f t="shared" si="24"/>
        <v>1</v>
      </c>
      <c r="CC38" s="14"/>
      <c r="CD38" s="14"/>
      <c r="CE38" s="30">
        <f t="shared" si="25"/>
        <v>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</row>
    <row r="39" spans="1:95" s="1" customFormat="1" ht="14" x14ac:dyDescent="0.3">
      <c r="A39" s="36" t="s">
        <v>15</v>
      </c>
      <c r="B39" s="13">
        <v>45594</v>
      </c>
      <c r="C39" s="14">
        <v>45601</v>
      </c>
      <c r="D39" s="14">
        <v>45610</v>
      </c>
      <c r="E39" s="15">
        <f t="shared" si="26"/>
        <v>10</v>
      </c>
      <c r="F39" s="14">
        <v>45612</v>
      </c>
      <c r="G39" s="14">
        <v>45624</v>
      </c>
      <c r="H39" s="15">
        <f t="shared" si="27"/>
        <v>13</v>
      </c>
      <c r="I39" s="14">
        <v>45642</v>
      </c>
      <c r="J39" s="14">
        <v>45656</v>
      </c>
      <c r="K39" s="15">
        <f t="shared" si="1"/>
        <v>15</v>
      </c>
      <c r="L39" s="17">
        <v>45657</v>
      </c>
      <c r="M39" s="17">
        <v>45657</v>
      </c>
      <c r="N39" s="16">
        <f t="shared" si="2"/>
        <v>1</v>
      </c>
      <c r="O39" s="33">
        <v>45812</v>
      </c>
      <c r="P39" s="33">
        <v>45831</v>
      </c>
      <c r="Q39" s="16">
        <f t="shared" si="3"/>
        <v>20</v>
      </c>
      <c r="R39" s="14">
        <v>45835</v>
      </c>
      <c r="S39" s="14">
        <v>45838</v>
      </c>
      <c r="T39" s="30">
        <f t="shared" si="4"/>
        <v>4</v>
      </c>
      <c r="U39" s="14"/>
      <c r="V39" s="14"/>
      <c r="W39" s="30">
        <f t="shared" si="5"/>
        <v>1</v>
      </c>
      <c r="X39" s="14"/>
      <c r="Y39" s="14"/>
      <c r="Z39" s="30">
        <f t="shared" si="6"/>
        <v>1</v>
      </c>
      <c r="AA39" s="14"/>
      <c r="AB39" s="14"/>
      <c r="AC39" s="30">
        <f t="shared" si="7"/>
        <v>1</v>
      </c>
      <c r="AD39" s="14"/>
      <c r="AE39" s="14"/>
      <c r="AF39" s="30">
        <f t="shared" si="8"/>
        <v>1</v>
      </c>
      <c r="AG39" s="14"/>
      <c r="AH39" s="14"/>
      <c r="AI39" s="30">
        <f t="shared" si="9"/>
        <v>1</v>
      </c>
      <c r="AJ39" s="14"/>
      <c r="AK39" s="14"/>
      <c r="AL39" s="30">
        <f t="shared" si="10"/>
        <v>1</v>
      </c>
      <c r="AM39" s="14"/>
      <c r="AN39" s="14"/>
      <c r="AO39" s="30">
        <f t="shared" si="11"/>
        <v>1</v>
      </c>
      <c r="AP39" s="14"/>
      <c r="AQ39" s="14"/>
      <c r="AR39" s="30">
        <f t="shared" si="12"/>
        <v>1</v>
      </c>
      <c r="AS39" s="14"/>
      <c r="AT39" s="14"/>
      <c r="AU39" s="30">
        <f t="shared" si="13"/>
        <v>1</v>
      </c>
      <c r="AV39" s="14"/>
      <c r="AW39" s="14"/>
      <c r="AX39" s="30">
        <f t="shared" si="14"/>
        <v>1</v>
      </c>
      <c r="AY39" s="14"/>
      <c r="AZ39" s="14"/>
      <c r="BA39" s="30">
        <f t="shared" si="15"/>
        <v>1</v>
      </c>
      <c r="BB39" s="14"/>
      <c r="BC39" s="14"/>
      <c r="BD39" s="30">
        <f t="shared" si="16"/>
        <v>1</v>
      </c>
      <c r="BE39" s="14"/>
      <c r="BF39" s="14"/>
      <c r="BG39" s="30">
        <f t="shared" si="17"/>
        <v>1</v>
      </c>
      <c r="BH39" s="14"/>
      <c r="BI39" s="14"/>
      <c r="BJ39" s="30">
        <f t="shared" si="18"/>
        <v>1</v>
      </c>
      <c r="BK39" s="14"/>
      <c r="BL39" s="14"/>
      <c r="BM39" s="30">
        <f t="shared" si="19"/>
        <v>1</v>
      </c>
      <c r="BN39" s="12"/>
      <c r="BO39" s="12"/>
      <c r="BP39" s="30">
        <f t="shared" si="20"/>
        <v>1</v>
      </c>
      <c r="BQ39" s="14"/>
      <c r="BR39" s="14"/>
      <c r="BS39" s="30">
        <f t="shared" si="21"/>
        <v>1</v>
      </c>
      <c r="BT39" s="12"/>
      <c r="BU39" s="12"/>
      <c r="BV39" s="30">
        <f t="shared" si="22"/>
        <v>1</v>
      </c>
      <c r="BW39" s="12"/>
      <c r="BX39" s="12"/>
      <c r="BY39" s="30">
        <f t="shared" si="23"/>
        <v>1</v>
      </c>
      <c r="BZ39" s="14"/>
      <c r="CA39" s="14"/>
      <c r="CB39" s="30">
        <f t="shared" si="24"/>
        <v>1</v>
      </c>
      <c r="CC39" s="14"/>
      <c r="CD39" s="14"/>
      <c r="CE39" s="30">
        <f t="shared" si="25"/>
        <v>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</row>
    <row r="40" spans="1:95" s="1" customFormat="1" ht="14" x14ac:dyDescent="0.3">
      <c r="A40" s="12" t="s">
        <v>57</v>
      </c>
      <c r="B40" s="13">
        <v>45588</v>
      </c>
      <c r="C40" s="14">
        <v>45598</v>
      </c>
      <c r="D40" s="14">
        <v>45599</v>
      </c>
      <c r="E40" s="15">
        <f t="shared" si="26"/>
        <v>2</v>
      </c>
      <c r="F40" s="17">
        <v>45657</v>
      </c>
      <c r="G40" s="17">
        <v>45657</v>
      </c>
      <c r="H40" s="15">
        <f t="shared" si="27"/>
        <v>1</v>
      </c>
      <c r="I40" s="33">
        <v>45826</v>
      </c>
      <c r="J40" s="33">
        <v>45841</v>
      </c>
      <c r="K40" s="15">
        <f t="shared" si="1"/>
        <v>16</v>
      </c>
      <c r="L40" s="14">
        <v>45856</v>
      </c>
      <c r="M40" s="14">
        <v>45867</v>
      </c>
      <c r="N40" s="16">
        <f t="shared" si="2"/>
        <v>12</v>
      </c>
      <c r="O40" s="14">
        <v>45876</v>
      </c>
      <c r="P40" s="14">
        <v>45891</v>
      </c>
      <c r="Q40" s="16">
        <f t="shared" si="3"/>
        <v>16</v>
      </c>
      <c r="R40" s="14">
        <v>45891</v>
      </c>
      <c r="S40" s="14">
        <v>45908</v>
      </c>
      <c r="T40" s="30">
        <f t="shared" si="4"/>
        <v>18</v>
      </c>
      <c r="U40" s="14">
        <v>45909</v>
      </c>
      <c r="V40" s="14">
        <v>45920</v>
      </c>
      <c r="W40" s="30">
        <f t="shared" si="5"/>
        <v>12</v>
      </c>
      <c r="X40" s="14">
        <v>45922</v>
      </c>
      <c r="Y40" s="14">
        <v>45928</v>
      </c>
      <c r="Z40" s="30">
        <f t="shared" si="6"/>
        <v>7</v>
      </c>
      <c r="AA40" s="14">
        <v>45931</v>
      </c>
      <c r="AB40" s="14">
        <v>45937</v>
      </c>
      <c r="AC40" s="30">
        <f t="shared" si="7"/>
        <v>7</v>
      </c>
      <c r="AD40" s="14">
        <v>45938</v>
      </c>
      <c r="AE40" s="14">
        <v>45942</v>
      </c>
      <c r="AF40" s="30">
        <f t="shared" si="8"/>
        <v>5</v>
      </c>
      <c r="AG40" s="14">
        <v>45942</v>
      </c>
      <c r="AH40" s="14"/>
      <c r="AI40" s="30">
        <f t="shared" si="9"/>
        <v>-45941</v>
      </c>
      <c r="AJ40" s="14"/>
      <c r="AK40" s="14"/>
      <c r="AL40" s="30">
        <f t="shared" si="10"/>
        <v>1</v>
      </c>
      <c r="AM40" s="14"/>
      <c r="AN40" s="14"/>
      <c r="AO40" s="30">
        <f t="shared" si="11"/>
        <v>1</v>
      </c>
      <c r="AP40" s="14"/>
      <c r="AQ40" s="14"/>
      <c r="AR40" s="30">
        <f t="shared" si="12"/>
        <v>1</v>
      </c>
      <c r="AS40" s="14"/>
      <c r="AT40" s="14"/>
      <c r="AU40" s="30">
        <f t="shared" si="13"/>
        <v>1</v>
      </c>
      <c r="AV40" s="14"/>
      <c r="AW40" s="14"/>
      <c r="AX40" s="30">
        <f t="shared" si="14"/>
        <v>1</v>
      </c>
      <c r="AY40" s="14"/>
      <c r="AZ40" s="14"/>
      <c r="BA40" s="30">
        <f t="shared" si="15"/>
        <v>1</v>
      </c>
      <c r="BB40" s="14"/>
      <c r="BC40" s="14"/>
      <c r="BD40" s="30">
        <f t="shared" si="16"/>
        <v>1</v>
      </c>
      <c r="BE40" s="14"/>
      <c r="BF40" s="14"/>
      <c r="BG40" s="30">
        <f t="shared" si="17"/>
        <v>1</v>
      </c>
      <c r="BH40" s="14"/>
      <c r="BI40" s="14"/>
      <c r="BJ40" s="30">
        <f t="shared" si="18"/>
        <v>1</v>
      </c>
      <c r="BK40" s="14"/>
      <c r="BL40" s="14"/>
      <c r="BM40" s="30">
        <f t="shared" si="19"/>
        <v>1</v>
      </c>
      <c r="BN40" s="12"/>
      <c r="BO40" s="12"/>
      <c r="BP40" s="30">
        <f t="shared" si="20"/>
        <v>1</v>
      </c>
      <c r="BQ40" s="14"/>
      <c r="BR40" s="14"/>
      <c r="BS40" s="30">
        <f t="shared" si="21"/>
        <v>1</v>
      </c>
      <c r="BT40" s="12"/>
      <c r="BU40" s="12"/>
      <c r="BV40" s="30">
        <f t="shared" si="22"/>
        <v>1</v>
      </c>
      <c r="BW40" s="12"/>
      <c r="BX40" s="12"/>
      <c r="BY40" s="30">
        <f t="shared" si="23"/>
        <v>1</v>
      </c>
      <c r="BZ40" s="14"/>
      <c r="CA40" s="14"/>
      <c r="CB40" s="30">
        <f t="shared" si="24"/>
        <v>1</v>
      </c>
      <c r="CC40" s="14"/>
      <c r="CD40" s="14"/>
      <c r="CE40" s="30">
        <f t="shared" si="25"/>
        <v>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</row>
    <row r="41" spans="1:95" s="1" customFormat="1" ht="14" x14ac:dyDescent="0.3">
      <c r="A41" s="36" t="s">
        <v>58</v>
      </c>
      <c r="B41" s="13">
        <v>45605</v>
      </c>
      <c r="C41" s="14">
        <v>45615</v>
      </c>
      <c r="D41" s="14">
        <v>45618</v>
      </c>
      <c r="E41" s="15">
        <f t="shared" si="26"/>
        <v>4</v>
      </c>
      <c r="F41" s="14">
        <v>45628</v>
      </c>
      <c r="G41" s="14">
        <v>45629</v>
      </c>
      <c r="H41" s="15">
        <f t="shared" si="27"/>
        <v>2</v>
      </c>
      <c r="I41" s="17">
        <v>45657</v>
      </c>
      <c r="J41" s="17">
        <v>45657</v>
      </c>
      <c r="K41" s="15">
        <f t="shared" si="1"/>
        <v>1</v>
      </c>
      <c r="L41" s="14">
        <v>45847</v>
      </c>
      <c r="M41" s="14">
        <v>45851</v>
      </c>
      <c r="N41" s="16">
        <f t="shared" si="2"/>
        <v>5</v>
      </c>
      <c r="O41" s="14">
        <v>45861</v>
      </c>
      <c r="P41" s="14">
        <v>45865</v>
      </c>
      <c r="Q41" s="16">
        <f t="shared" si="3"/>
        <v>5</v>
      </c>
      <c r="R41" s="14">
        <v>45877</v>
      </c>
      <c r="S41" s="14">
        <v>45883</v>
      </c>
      <c r="T41" s="30">
        <f t="shared" si="4"/>
        <v>7</v>
      </c>
      <c r="U41" s="14">
        <v>45891</v>
      </c>
      <c r="V41" s="14">
        <v>45898</v>
      </c>
      <c r="W41" s="30">
        <f t="shared" si="5"/>
        <v>8</v>
      </c>
      <c r="X41" s="14">
        <v>45922</v>
      </c>
      <c r="Y41" s="14">
        <v>45925</v>
      </c>
      <c r="Z41" s="30">
        <f t="shared" si="6"/>
        <v>4</v>
      </c>
      <c r="AA41" s="52">
        <v>45927</v>
      </c>
      <c r="AB41" s="52">
        <v>45929</v>
      </c>
      <c r="AC41" s="30">
        <f t="shared" si="7"/>
        <v>3</v>
      </c>
      <c r="AD41" s="14">
        <v>45931</v>
      </c>
      <c r="AE41" s="14"/>
      <c r="AF41" s="30">
        <f t="shared" si="8"/>
        <v>-45930</v>
      </c>
      <c r="AG41" s="14"/>
      <c r="AH41" s="14"/>
      <c r="AI41" s="30">
        <f t="shared" si="9"/>
        <v>1</v>
      </c>
      <c r="AJ41" s="14"/>
      <c r="AK41" s="14"/>
      <c r="AL41" s="30">
        <f t="shared" si="10"/>
        <v>1</v>
      </c>
      <c r="AM41" s="14"/>
      <c r="AN41" s="14"/>
      <c r="AO41" s="30">
        <f t="shared" si="11"/>
        <v>1</v>
      </c>
      <c r="AP41" s="14"/>
      <c r="AQ41" s="14"/>
      <c r="AR41" s="30">
        <f t="shared" si="12"/>
        <v>1</v>
      </c>
      <c r="AS41" s="14"/>
      <c r="AT41" s="14"/>
      <c r="AU41" s="30">
        <f t="shared" si="13"/>
        <v>1</v>
      </c>
      <c r="AV41" s="14"/>
      <c r="AW41" s="14"/>
      <c r="AX41" s="30">
        <f t="shared" si="14"/>
        <v>1</v>
      </c>
      <c r="AY41" s="14"/>
      <c r="AZ41" s="14"/>
      <c r="BA41" s="30">
        <f t="shared" si="15"/>
        <v>1</v>
      </c>
      <c r="BB41" s="14"/>
      <c r="BC41" s="14"/>
      <c r="BD41" s="30">
        <f t="shared" si="16"/>
        <v>1</v>
      </c>
      <c r="BE41" s="14"/>
      <c r="BF41" s="14"/>
      <c r="BG41" s="30">
        <f t="shared" si="17"/>
        <v>1</v>
      </c>
      <c r="BH41" s="14"/>
      <c r="BI41" s="14"/>
      <c r="BJ41" s="30">
        <f t="shared" si="18"/>
        <v>1</v>
      </c>
      <c r="BK41" s="14"/>
      <c r="BL41" s="14"/>
      <c r="BM41" s="30">
        <f t="shared" si="19"/>
        <v>1</v>
      </c>
      <c r="BN41" s="12"/>
      <c r="BO41" s="12"/>
      <c r="BP41" s="30">
        <f t="shared" si="20"/>
        <v>1</v>
      </c>
      <c r="BQ41" s="14"/>
      <c r="BR41" s="14"/>
      <c r="BS41" s="30">
        <f t="shared" si="21"/>
        <v>1</v>
      </c>
      <c r="BT41" s="12"/>
      <c r="BU41" s="12"/>
      <c r="BV41" s="30">
        <f t="shared" si="22"/>
        <v>1</v>
      </c>
      <c r="BW41" s="12"/>
      <c r="BX41" s="12"/>
      <c r="BY41" s="30">
        <f t="shared" si="23"/>
        <v>1</v>
      </c>
      <c r="BZ41" s="14"/>
      <c r="CA41" s="14"/>
      <c r="CB41" s="30">
        <f t="shared" si="24"/>
        <v>1</v>
      </c>
      <c r="CC41" s="14"/>
      <c r="CD41" s="14"/>
      <c r="CE41" s="30">
        <f t="shared" si="25"/>
        <v>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</row>
    <row r="42" spans="1:95" s="1" customFormat="1" ht="14" x14ac:dyDescent="0.3">
      <c r="A42" s="12" t="s">
        <v>59</v>
      </c>
      <c r="B42" s="13">
        <v>45619</v>
      </c>
      <c r="C42" s="14">
        <v>45631</v>
      </c>
      <c r="D42" s="14">
        <v>45645</v>
      </c>
      <c r="E42" s="15">
        <f t="shared" si="26"/>
        <v>15</v>
      </c>
      <c r="F42" s="17">
        <v>45657</v>
      </c>
      <c r="G42" s="17">
        <v>45657</v>
      </c>
      <c r="H42" s="15">
        <f t="shared" si="27"/>
        <v>1</v>
      </c>
      <c r="I42" s="33">
        <v>45825</v>
      </c>
      <c r="J42" s="33">
        <v>45832</v>
      </c>
      <c r="K42" s="15">
        <f t="shared" si="1"/>
        <v>8</v>
      </c>
      <c r="L42" s="14">
        <v>45832</v>
      </c>
      <c r="M42" s="14">
        <v>45834</v>
      </c>
      <c r="N42" s="16">
        <f t="shared" si="2"/>
        <v>3</v>
      </c>
      <c r="O42" s="14">
        <v>45839</v>
      </c>
      <c r="P42" s="14">
        <v>45847</v>
      </c>
      <c r="Q42" s="16">
        <f t="shared" si="3"/>
        <v>9</v>
      </c>
      <c r="R42" s="14">
        <v>45850</v>
      </c>
      <c r="S42" s="14">
        <v>45853</v>
      </c>
      <c r="T42" s="30">
        <f t="shared" si="4"/>
        <v>4</v>
      </c>
      <c r="U42" s="14">
        <v>45857</v>
      </c>
      <c r="V42" s="14">
        <v>45862</v>
      </c>
      <c r="W42" s="30">
        <f t="shared" si="5"/>
        <v>6</v>
      </c>
      <c r="X42" s="14">
        <v>45875</v>
      </c>
      <c r="Y42" s="14">
        <v>45879</v>
      </c>
      <c r="Z42" s="30">
        <f t="shared" si="6"/>
        <v>5</v>
      </c>
      <c r="AA42" s="14">
        <v>45886</v>
      </c>
      <c r="AB42" s="14">
        <v>45892</v>
      </c>
      <c r="AC42" s="30">
        <f t="shared" si="7"/>
        <v>7</v>
      </c>
      <c r="AD42" s="14">
        <v>45898</v>
      </c>
      <c r="AE42" s="14">
        <v>45910</v>
      </c>
      <c r="AF42" s="30">
        <f t="shared" si="8"/>
        <v>13</v>
      </c>
      <c r="AG42" s="14">
        <v>45911</v>
      </c>
      <c r="AH42" s="14">
        <v>45915</v>
      </c>
      <c r="AI42" s="30">
        <f t="shared" si="9"/>
        <v>5</v>
      </c>
      <c r="AJ42" s="14">
        <v>45924</v>
      </c>
      <c r="AK42" s="14">
        <v>45933</v>
      </c>
      <c r="AL42" s="30">
        <f t="shared" si="10"/>
        <v>10</v>
      </c>
      <c r="AM42" s="14">
        <v>45937</v>
      </c>
      <c r="AN42" s="14">
        <v>45942</v>
      </c>
      <c r="AO42" s="30">
        <f t="shared" si="11"/>
        <v>6</v>
      </c>
      <c r="AP42" s="14"/>
      <c r="AQ42" s="14"/>
      <c r="AR42" s="30">
        <f t="shared" si="12"/>
        <v>1</v>
      </c>
      <c r="AS42" s="14"/>
      <c r="AT42" s="14"/>
      <c r="AU42" s="30">
        <f t="shared" si="13"/>
        <v>1</v>
      </c>
      <c r="AV42" s="14"/>
      <c r="AW42" s="14"/>
      <c r="AX42" s="30">
        <f t="shared" si="14"/>
        <v>1</v>
      </c>
      <c r="AY42" s="14"/>
      <c r="AZ42" s="14"/>
      <c r="BA42" s="30">
        <f t="shared" si="15"/>
        <v>1</v>
      </c>
      <c r="BB42" s="14"/>
      <c r="BC42" s="14"/>
      <c r="BD42" s="30">
        <f t="shared" si="16"/>
        <v>1</v>
      </c>
      <c r="BE42" s="14"/>
      <c r="BF42" s="14"/>
      <c r="BG42" s="30">
        <f t="shared" si="17"/>
        <v>1</v>
      </c>
      <c r="BH42" s="14"/>
      <c r="BI42" s="14"/>
      <c r="BJ42" s="30">
        <f t="shared" si="18"/>
        <v>1</v>
      </c>
      <c r="BK42" s="14"/>
      <c r="BL42" s="14"/>
      <c r="BM42" s="30">
        <f t="shared" si="19"/>
        <v>1</v>
      </c>
      <c r="BN42" s="12"/>
      <c r="BO42" s="12"/>
      <c r="BP42" s="30">
        <f t="shared" si="20"/>
        <v>1</v>
      </c>
      <c r="BQ42" s="14"/>
      <c r="BR42" s="14"/>
      <c r="BS42" s="30">
        <f t="shared" si="21"/>
        <v>1</v>
      </c>
      <c r="BT42" s="12"/>
      <c r="BU42" s="12"/>
      <c r="BV42" s="30">
        <f t="shared" si="22"/>
        <v>1</v>
      </c>
      <c r="BW42" s="12"/>
      <c r="BX42" s="12"/>
      <c r="BY42" s="30">
        <f t="shared" si="23"/>
        <v>1</v>
      </c>
      <c r="BZ42" s="14"/>
      <c r="CA42" s="14"/>
      <c r="CB42" s="30">
        <f t="shared" si="24"/>
        <v>1</v>
      </c>
      <c r="CC42" s="14"/>
      <c r="CD42" s="14"/>
      <c r="CE42" s="30">
        <f t="shared" si="25"/>
        <v>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</row>
    <row r="43" spans="1:95" s="1" customFormat="1" ht="14" x14ac:dyDescent="0.3">
      <c r="A43" s="12" t="s">
        <v>60</v>
      </c>
      <c r="B43" s="13">
        <v>45620</v>
      </c>
      <c r="C43" s="14">
        <v>45631</v>
      </c>
      <c r="D43" s="14">
        <v>45637</v>
      </c>
      <c r="E43" s="15">
        <f t="shared" si="26"/>
        <v>7</v>
      </c>
      <c r="F43" s="17">
        <v>45657</v>
      </c>
      <c r="G43" s="17">
        <v>45657</v>
      </c>
      <c r="H43" s="15">
        <f t="shared" si="27"/>
        <v>1</v>
      </c>
      <c r="I43" s="33">
        <v>45820</v>
      </c>
      <c r="J43" s="33">
        <v>45827</v>
      </c>
      <c r="K43" s="15">
        <f t="shared" si="1"/>
        <v>8</v>
      </c>
      <c r="L43" s="14">
        <v>45828</v>
      </c>
      <c r="M43" s="14">
        <v>45831</v>
      </c>
      <c r="N43" s="16">
        <f t="shared" si="2"/>
        <v>4</v>
      </c>
      <c r="O43" s="14">
        <v>45837</v>
      </c>
      <c r="P43" s="14">
        <v>45839</v>
      </c>
      <c r="Q43" s="16">
        <f t="shared" si="3"/>
        <v>3</v>
      </c>
      <c r="R43" s="14">
        <v>45847</v>
      </c>
      <c r="S43" s="14">
        <v>45851</v>
      </c>
      <c r="T43" s="30">
        <f t="shared" si="4"/>
        <v>5</v>
      </c>
      <c r="U43" s="14">
        <v>45856</v>
      </c>
      <c r="V43" s="14">
        <v>45859</v>
      </c>
      <c r="W43" s="30">
        <f t="shared" si="5"/>
        <v>4</v>
      </c>
      <c r="X43" s="14">
        <v>45875</v>
      </c>
      <c r="Y43" s="14">
        <v>45879</v>
      </c>
      <c r="Z43" s="30">
        <f t="shared" si="6"/>
        <v>5</v>
      </c>
      <c r="AA43" s="14">
        <v>45886</v>
      </c>
      <c r="AB43" s="14">
        <v>45889</v>
      </c>
      <c r="AC43" s="30">
        <f t="shared" si="7"/>
        <v>4</v>
      </c>
      <c r="AD43" s="14">
        <v>45897</v>
      </c>
      <c r="AE43" s="14">
        <v>45902</v>
      </c>
      <c r="AF43" s="30">
        <f t="shared" si="8"/>
        <v>6</v>
      </c>
      <c r="AG43" s="14">
        <v>45911</v>
      </c>
      <c r="AH43" s="14">
        <v>45914</v>
      </c>
      <c r="AI43" s="30">
        <f t="shared" si="9"/>
        <v>4</v>
      </c>
      <c r="AJ43" s="14">
        <v>45915</v>
      </c>
      <c r="AK43" s="14">
        <v>45919</v>
      </c>
      <c r="AL43" s="30">
        <f t="shared" si="10"/>
        <v>5</v>
      </c>
      <c r="AM43" s="14">
        <v>45921</v>
      </c>
      <c r="AN43" s="14">
        <v>45924</v>
      </c>
      <c r="AO43" s="30">
        <f t="shared" si="11"/>
        <v>4</v>
      </c>
      <c r="AP43" s="14">
        <v>45932</v>
      </c>
      <c r="AQ43" s="14">
        <v>45935</v>
      </c>
      <c r="AR43" s="30">
        <f t="shared" si="12"/>
        <v>4</v>
      </c>
      <c r="AS43" s="14"/>
      <c r="AT43" s="14"/>
      <c r="AU43" s="30">
        <f t="shared" si="13"/>
        <v>1</v>
      </c>
      <c r="AV43" s="14"/>
      <c r="AW43" s="14"/>
      <c r="AX43" s="30">
        <f t="shared" si="14"/>
        <v>1</v>
      </c>
      <c r="AY43" s="14"/>
      <c r="AZ43" s="14"/>
      <c r="BA43" s="30">
        <f t="shared" si="15"/>
        <v>1</v>
      </c>
      <c r="BB43" s="14"/>
      <c r="BC43" s="14"/>
      <c r="BD43" s="30">
        <f t="shared" si="16"/>
        <v>1</v>
      </c>
      <c r="BE43" s="14"/>
      <c r="BF43" s="14"/>
      <c r="BG43" s="30">
        <f t="shared" si="17"/>
        <v>1</v>
      </c>
      <c r="BH43" s="14"/>
      <c r="BI43" s="14"/>
      <c r="BJ43" s="30">
        <f t="shared" si="18"/>
        <v>1</v>
      </c>
      <c r="BK43" s="14"/>
      <c r="BL43" s="14"/>
      <c r="BM43" s="30">
        <f t="shared" si="19"/>
        <v>1</v>
      </c>
      <c r="BN43" s="12"/>
      <c r="BO43" s="12"/>
      <c r="BP43" s="30">
        <f t="shared" si="20"/>
        <v>1</v>
      </c>
      <c r="BQ43" s="14"/>
      <c r="BR43" s="14"/>
      <c r="BS43" s="30">
        <f t="shared" si="21"/>
        <v>1</v>
      </c>
      <c r="BT43" s="12"/>
      <c r="BU43" s="12"/>
      <c r="BV43" s="30">
        <f t="shared" si="22"/>
        <v>1</v>
      </c>
      <c r="BW43" s="12"/>
      <c r="BX43" s="12"/>
      <c r="BY43" s="30">
        <f t="shared" si="23"/>
        <v>1</v>
      </c>
      <c r="BZ43" s="14"/>
      <c r="CA43" s="14"/>
      <c r="CB43" s="30">
        <f t="shared" si="24"/>
        <v>1</v>
      </c>
      <c r="CC43" s="14"/>
      <c r="CD43" s="14"/>
      <c r="CE43" s="30">
        <f t="shared" si="25"/>
        <v>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</row>
    <row r="44" spans="1:95" s="1" customFormat="1" ht="14" x14ac:dyDescent="0.3">
      <c r="A44" s="12" t="s">
        <v>61</v>
      </c>
      <c r="B44" s="13">
        <v>45607</v>
      </c>
      <c r="C44" s="14">
        <v>45630</v>
      </c>
      <c r="D44" s="14">
        <v>45639</v>
      </c>
      <c r="E44" s="15">
        <f t="shared" si="26"/>
        <v>10</v>
      </c>
      <c r="F44" s="17">
        <v>45657</v>
      </c>
      <c r="G44" s="17">
        <v>45657</v>
      </c>
      <c r="H44" s="15">
        <f t="shared" si="27"/>
        <v>1</v>
      </c>
      <c r="I44" s="33">
        <v>45821</v>
      </c>
      <c r="J44" s="33">
        <v>45833</v>
      </c>
      <c r="K44" s="15">
        <f t="shared" si="1"/>
        <v>13</v>
      </c>
      <c r="L44" s="14">
        <v>45834</v>
      </c>
      <c r="M44" s="14">
        <v>45841</v>
      </c>
      <c r="N44" s="16">
        <f t="shared" si="2"/>
        <v>8</v>
      </c>
      <c r="O44" s="14">
        <v>45852</v>
      </c>
      <c r="P44" s="14">
        <v>45856</v>
      </c>
      <c r="Q44" s="16">
        <f t="shared" si="3"/>
        <v>5</v>
      </c>
      <c r="R44" s="14">
        <v>45884</v>
      </c>
      <c r="S44" s="14">
        <v>45890</v>
      </c>
      <c r="T44" s="30">
        <f t="shared" si="4"/>
        <v>7</v>
      </c>
      <c r="U44" s="14">
        <v>45899</v>
      </c>
      <c r="V44" s="14">
        <v>45906</v>
      </c>
      <c r="W44" s="30">
        <f t="shared" si="5"/>
        <v>8</v>
      </c>
      <c r="X44" s="14">
        <v>45922</v>
      </c>
      <c r="Y44" s="14">
        <v>45932</v>
      </c>
      <c r="Z44" s="30">
        <f t="shared" si="6"/>
        <v>11</v>
      </c>
      <c r="AA44" s="14"/>
      <c r="AB44" s="14"/>
      <c r="AC44" s="30">
        <f t="shared" si="7"/>
        <v>1</v>
      </c>
      <c r="AD44" s="14"/>
      <c r="AE44" s="14"/>
      <c r="AF44" s="30">
        <f t="shared" si="8"/>
        <v>1</v>
      </c>
      <c r="AG44" s="14"/>
      <c r="AH44" s="14"/>
      <c r="AI44" s="30">
        <f t="shared" si="9"/>
        <v>1</v>
      </c>
      <c r="AJ44" s="14"/>
      <c r="AK44" s="14"/>
      <c r="AL44" s="30">
        <f t="shared" si="10"/>
        <v>1</v>
      </c>
      <c r="AM44" s="14"/>
      <c r="AN44" s="14"/>
      <c r="AO44" s="30">
        <f t="shared" si="11"/>
        <v>1</v>
      </c>
      <c r="AP44" s="14"/>
      <c r="AQ44" s="14"/>
      <c r="AR44" s="30">
        <f t="shared" si="12"/>
        <v>1</v>
      </c>
      <c r="AS44" s="14"/>
      <c r="AT44" s="14"/>
      <c r="AU44" s="30">
        <f t="shared" si="13"/>
        <v>1</v>
      </c>
      <c r="AV44" s="14"/>
      <c r="AW44" s="14"/>
      <c r="AX44" s="30">
        <f t="shared" si="14"/>
        <v>1</v>
      </c>
      <c r="AY44" s="14"/>
      <c r="AZ44" s="14"/>
      <c r="BA44" s="30">
        <f t="shared" si="15"/>
        <v>1</v>
      </c>
      <c r="BB44" s="14"/>
      <c r="BC44" s="14"/>
      <c r="BD44" s="30">
        <f t="shared" si="16"/>
        <v>1</v>
      </c>
      <c r="BE44" s="14"/>
      <c r="BF44" s="14"/>
      <c r="BG44" s="30">
        <f t="shared" si="17"/>
        <v>1</v>
      </c>
      <c r="BH44" s="14"/>
      <c r="BI44" s="14"/>
      <c r="BJ44" s="30">
        <f t="shared" si="18"/>
        <v>1</v>
      </c>
      <c r="BK44" s="14"/>
      <c r="BL44" s="14"/>
      <c r="BM44" s="30">
        <f t="shared" si="19"/>
        <v>1</v>
      </c>
      <c r="BN44" s="12"/>
      <c r="BO44" s="12"/>
      <c r="BP44" s="30">
        <f t="shared" si="20"/>
        <v>1</v>
      </c>
      <c r="BQ44" s="14"/>
      <c r="BR44" s="14"/>
      <c r="BS44" s="30">
        <f t="shared" si="21"/>
        <v>1</v>
      </c>
      <c r="BT44" s="12"/>
      <c r="BU44" s="12"/>
      <c r="BV44" s="30">
        <f t="shared" si="22"/>
        <v>1</v>
      </c>
      <c r="BW44" s="12"/>
      <c r="BX44" s="12"/>
      <c r="BY44" s="30">
        <f t="shared" si="23"/>
        <v>1</v>
      </c>
      <c r="BZ44" s="14"/>
      <c r="CA44" s="14"/>
      <c r="CB44" s="30">
        <f t="shared" si="24"/>
        <v>1</v>
      </c>
      <c r="CC44" s="14"/>
      <c r="CD44" s="14"/>
      <c r="CE44" s="30">
        <f t="shared" si="25"/>
        <v>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</row>
    <row r="45" spans="1:95" s="1" customFormat="1" ht="14" x14ac:dyDescent="0.3">
      <c r="A45" s="12" t="s">
        <v>62</v>
      </c>
      <c r="B45" s="13">
        <v>45613</v>
      </c>
      <c r="C45" s="14">
        <v>45631</v>
      </c>
      <c r="D45" s="14">
        <v>45644</v>
      </c>
      <c r="E45" s="15">
        <f t="shared" si="26"/>
        <v>14</v>
      </c>
      <c r="F45" s="17">
        <v>45657</v>
      </c>
      <c r="G45" s="17">
        <v>45657</v>
      </c>
      <c r="H45" s="15">
        <f t="shared" si="27"/>
        <v>1</v>
      </c>
      <c r="I45" s="33">
        <v>45840</v>
      </c>
      <c r="J45" s="33">
        <v>45849</v>
      </c>
      <c r="K45" s="15">
        <f t="shared" si="1"/>
        <v>10</v>
      </c>
      <c r="L45" s="14">
        <v>45849</v>
      </c>
      <c r="M45" s="14">
        <v>45977</v>
      </c>
      <c r="N45" s="16">
        <f t="shared" si="2"/>
        <v>129</v>
      </c>
      <c r="O45" s="14">
        <v>45857</v>
      </c>
      <c r="P45" s="14">
        <v>45861</v>
      </c>
      <c r="Q45" s="16">
        <f t="shared" si="3"/>
        <v>5</v>
      </c>
      <c r="R45" s="14">
        <v>45887</v>
      </c>
      <c r="S45" s="14">
        <v>45898</v>
      </c>
      <c r="T45" s="30">
        <f t="shared" si="4"/>
        <v>12</v>
      </c>
      <c r="U45" s="14">
        <v>45900</v>
      </c>
      <c r="V45" s="14">
        <v>45906</v>
      </c>
      <c r="W45" s="30">
        <f t="shared" si="5"/>
        <v>7</v>
      </c>
      <c r="X45" s="14">
        <v>45922</v>
      </c>
      <c r="Y45" s="14">
        <v>45930</v>
      </c>
      <c r="Z45" s="30">
        <f t="shared" si="6"/>
        <v>9</v>
      </c>
      <c r="AA45" s="14">
        <v>45937</v>
      </c>
      <c r="AB45" s="14"/>
      <c r="AC45" s="30">
        <f t="shared" si="7"/>
        <v>-45936</v>
      </c>
      <c r="AD45" s="14"/>
      <c r="AE45" s="14"/>
      <c r="AF45" s="30">
        <f t="shared" si="8"/>
        <v>1</v>
      </c>
      <c r="AG45" s="14"/>
      <c r="AH45" s="14"/>
      <c r="AI45" s="30">
        <f t="shared" si="9"/>
        <v>1</v>
      </c>
      <c r="AJ45" s="14"/>
      <c r="AK45" s="14"/>
      <c r="AL45" s="30">
        <f t="shared" si="10"/>
        <v>1</v>
      </c>
      <c r="AM45" s="14"/>
      <c r="AN45" s="14"/>
      <c r="AO45" s="30">
        <f t="shared" si="11"/>
        <v>1</v>
      </c>
      <c r="AP45" s="14"/>
      <c r="AQ45" s="14"/>
      <c r="AR45" s="30">
        <f t="shared" si="12"/>
        <v>1</v>
      </c>
      <c r="AS45" s="14"/>
      <c r="AT45" s="14"/>
      <c r="AU45" s="30">
        <f t="shared" si="13"/>
        <v>1</v>
      </c>
      <c r="AV45" s="14"/>
      <c r="AW45" s="14"/>
      <c r="AX45" s="30">
        <f t="shared" si="14"/>
        <v>1</v>
      </c>
      <c r="AY45" s="14"/>
      <c r="AZ45" s="14"/>
      <c r="BA45" s="30">
        <f t="shared" si="15"/>
        <v>1</v>
      </c>
      <c r="BB45" s="14"/>
      <c r="BC45" s="14"/>
      <c r="BD45" s="30">
        <f t="shared" si="16"/>
        <v>1</v>
      </c>
      <c r="BE45" s="14"/>
      <c r="BF45" s="14"/>
      <c r="BG45" s="30">
        <f t="shared" si="17"/>
        <v>1</v>
      </c>
      <c r="BH45" s="14"/>
      <c r="BI45" s="14"/>
      <c r="BJ45" s="30">
        <f t="shared" si="18"/>
        <v>1</v>
      </c>
      <c r="BK45" s="14"/>
      <c r="BL45" s="14"/>
      <c r="BM45" s="30">
        <f t="shared" si="19"/>
        <v>1</v>
      </c>
      <c r="BN45" s="12"/>
      <c r="BO45" s="12"/>
      <c r="BP45" s="30">
        <f t="shared" si="20"/>
        <v>1</v>
      </c>
      <c r="BQ45" s="14"/>
      <c r="BR45" s="14"/>
      <c r="BS45" s="30">
        <f t="shared" si="21"/>
        <v>1</v>
      </c>
      <c r="BT45" s="12"/>
      <c r="BU45" s="12"/>
      <c r="BV45" s="30">
        <f t="shared" si="22"/>
        <v>1</v>
      </c>
      <c r="BW45" s="12"/>
      <c r="BX45" s="12"/>
      <c r="BY45" s="30">
        <f t="shared" si="23"/>
        <v>1</v>
      </c>
      <c r="BZ45" s="14"/>
      <c r="CA45" s="14"/>
      <c r="CB45" s="30">
        <f t="shared" si="24"/>
        <v>1</v>
      </c>
      <c r="CC45" s="14"/>
      <c r="CD45" s="14"/>
      <c r="CE45" s="30">
        <f t="shared" si="25"/>
        <v>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</row>
    <row r="46" spans="1:95" s="1" customFormat="1" ht="14" x14ac:dyDescent="0.3">
      <c r="A46" s="55" t="s">
        <v>63</v>
      </c>
      <c r="B46" s="13">
        <v>45614</v>
      </c>
      <c r="C46" s="14">
        <v>45631</v>
      </c>
      <c r="D46" s="14">
        <v>45644</v>
      </c>
      <c r="E46" s="15">
        <f t="shared" si="26"/>
        <v>14</v>
      </c>
      <c r="F46" s="17">
        <v>45657</v>
      </c>
      <c r="G46" s="17">
        <v>45657</v>
      </c>
      <c r="H46" s="15">
        <f t="shared" si="27"/>
        <v>1</v>
      </c>
      <c r="I46" s="33">
        <v>45821</v>
      </c>
      <c r="J46" s="33">
        <v>45833</v>
      </c>
      <c r="K46" s="15">
        <f t="shared" si="1"/>
        <v>13</v>
      </c>
      <c r="L46" s="14">
        <v>45846</v>
      </c>
      <c r="M46" s="14">
        <v>45851</v>
      </c>
      <c r="N46" s="16">
        <f t="shared" si="2"/>
        <v>6</v>
      </c>
      <c r="O46" s="14">
        <v>45856</v>
      </c>
      <c r="P46" s="14">
        <v>45859</v>
      </c>
      <c r="Q46" s="16">
        <f t="shared" si="3"/>
        <v>4</v>
      </c>
      <c r="R46" s="14">
        <v>45859</v>
      </c>
      <c r="S46" s="14">
        <v>45866</v>
      </c>
      <c r="T46" s="30">
        <f t="shared" si="4"/>
        <v>8</v>
      </c>
      <c r="U46" s="14">
        <v>45876</v>
      </c>
      <c r="V46" s="14">
        <v>45883</v>
      </c>
      <c r="W46" s="30">
        <f t="shared" si="5"/>
        <v>8</v>
      </c>
      <c r="X46" s="14">
        <v>45889</v>
      </c>
      <c r="Y46" s="14">
        <v>45895</v>
      </c>
      <c r="Z46" s="30">
        <f t="shared" si="6"/>
        <v>7</v>
      </c>
      <c r="AA46" s="14">
        <v>45895</v>
      </c>
      <c r="AB46" s="14">
        <v>45905</v>
      </c>
      <c r="AC46" s="30">
        <f t="shared" si="7"/>
        <v>11</v>
      </c>
      <c r="AD46" s="14">
        <v>45913</v>
      </c>
      <c r="AE46" s="14">
        <v>45921</v>
      </c>
      <c r="AF46" s="30">
        <f t="shared" si="8"/>
        <v>9</v>
      </c>
      <c r="AG46" s="14"/>
      <c r="AH46" s="14"/>
      <c r="AI46" s="30">
        <f t="shared" si="9"/>
        <v>1</v>
      </c>
      <c r="AJ46" s="14"/>
      <c r="AK46" s="14"/>
      <c r="AL46" s="30">
        <f t="shared" si="10"/>
        <v>1</v>
      </c>
      <c r="AM46" s="14"/>
      <c r="AN46" s="14"/>
      <c r="AO46" s="30">
        <f t="shared" si="11"/>
        <v>1</v>
      </c>
      <c r="AP46" s="14"/>
      <c r="AQ46" s="14"/>
      <c r="AR46" s="30">
        <f t="shared" si="12"/>
        <v>1</v>
      </c>
      <c r="AS46" s="14"/>
      <c r="AT46" s="14"/>
      <c r="AU46" s="30">
        <f t="shared" si="13"/>
        <v>1</v>
      </c>
      <c r="AV46" s="14"/>
      <c r="AW46" s="14"/>
      <c r="AX46" s="30">
        <f t="shared" si="14"/>
        <v>1</v>
      </c>
      <c r="AY46" s="14"/>
      <c r="AZ46" s="14"/>
      <c r="BA46" s="30">
        <f t="shared" si="15"/>
        <v>1</v>
      </c>
      <c r="BB46" s="14"/>
      <c r="BC46" s="14"/>
      <c r="BD46" s="30">
        <f t="shared" si="16"/>
        <v>1</v>
      </c>
      <c r="BE46" s="14"/>
      <c r="BF46" s="14"/>
      <c r="BG46" s="30">
        <f t="shared" si="17"/>
        <v>1</v>
      </c>
      <c r="BH46" s="14"/>
      <c r="BI46" s="14"/>
      <c r="BJ46" s="30">
        <f t="shared" si="18"/>
        <v>1</v>
      </c>
      <c r="BK46" s="14"/>
      <c r="BL46" s="14"/>
      <c r="BM46" s="30">
        <f t="shared" si="19"/>
        <v>1</v>
      </c>
      <c r="BN46" s="12"/>
      <c r="BO46" s="12"/>
      <c r="BP46" s="30">
        <f t="shared" si="20"/>
        <v>1</v>
      </c>
      <c r="BQ46" s="14"/>
      <c r="BR46" s="14"/>
      <c r="BS46" s="30">
        <f t="shared" si="21"/>
        <v>1</v>
      </c>
      <c r="BT46" s="12"/>
      <c r="BU46" s="12"/>
      <c r="BV46" s="30">
        <f t="shared" si="22"/>
        <v>1</v>
      </c>
      <c r="BW46" s="12"/>
      <c r="BX46" s="12"/>
      <c r="BY46" s="30">
        <f t="shared" si="23"/>
        <v>1</v>
      </c>
      <c r="BZ46" s="14"/>
      <c r="CA46" s="14"/>
      <c r="CB46" s="30">
        <f t="shared" si="24"/>
        <v>1</v>
      </c>
      <c r="CC46" s="14"/>
      <c r="CD46" s="14"/>
      <c r="CE46" s="30">
        <f t="shared" si="25"/>
        <v>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</row>
    <row r="47" spans="1:95" s="1" customFormat="1" ht="14" x14ac:dyDescent="0.3">
      <c r="A47" s="12" t="s">
        <v>14</v>
      </c>
      <c r="B47" s="13">
        <v>45623</v>
      </c>
      <c r="C47" s="17">
        <v>45657</v>
      </c>
      <c r="D47" s="17">
        <v>45657</v>
      </c>
      <c r="E47" s="15">
        <f t="shared" si="26"/>
        <v>1</v>
      </c>
      <c r="F47" s="33">
        <v>45834</v>
      </c>
      <c r="G47" s="33">
        <v>45847</v>
      </c>
      <c r="H47" s="15">
        <f t="shared" si="27"/>
        <v>14</v>
      </c>
      <c r="I47" s="14">
        <v>45848</v>
      </c>
      <c r="J47" s="14">
        <v>45875</v>
      </c>
      <c r="K47" s="15">
        <f t="shared" si="1"/>
        <v>28</v>
      </c>
      <c r="L47" s="14">
        <v>45876</v>
      </c>
      <c r="M47" s="14">
        <v>45885</v>
      </c>
      <c r="N47" s="16">
        <f t="shared" si="2"/>
        <v>10</v>
      </c>
      <c r="O47" s="14">
        <v>45908</v>
      </c>
      <c r="P47" s="14">
        <v>45918</v>
      </c>
      <c r="Q47" s="16">
        <f t="shared" si="3"/>
        <v>11</v>
      </c>
      <c r="R47" s="14"/>
      <c r="S47" s="14"/>
      <c r="T47" s="30">
        <f t="shared" si="4"/>
        <v>1</v>
      </c>
      <c r="U47" s="14"/>
      <c r="V47" s="14"/>
      <c r="W47" s="30">
        <f t="shared" si="5"/>
        <v>1</v>
      </c>
      <c r="X47" s="14"/>
      <c r="Y47" s="14"/>
      <c r="Z47" s="30">
        <f t="shared" si="6"/>
        <v>1</v>
      </c>
      <c r="AA47" s="14"/>
      <c r="AB47" s="14"/>
      <c r="AC47" s="30">
        <f t="shared" si="7"/>
        <v>1</v>
      </c>
      <c r="AD47" s="14"/>
      <c r="AE47" s="14"/>
      <c r="AF47" s="30">
        <f t="shared" si="8"/>
        <v>1</v>
      </c>
      <c r="AG47" s="14"/>
      <c r="AH47" s="14"/>
      <c r="AI47" s="30">
        <f t="shared" si="9"/>
        <v>1</v>
      </c>
      <c r="AJ47" s="14"/>
      <c r="AK47" s="14"/>
      <c r="AL47" s="30">
        <f t="shared" si="10"/>
        <v>1</v>
      </c>
      <c r="AM47" s="14"/>
      <c r="AN47" s="14"/>
      <c r="AO47" s="30">
        <f t="shared" si="11"/>
        <v>1</v>
      </c>
      <c r="AP47" s="14"/>
      <c r="AQ47" s="14"/>
      <c r="AR47" s="30">
        <f t="shared" si="12"/>
        <v>1</v>
      </c>
      <c r="AS47" s="14"/>
      <c r="AT47" s="14"/>
      <c r="AU47" s="30">
        <f t="shared" si="13"/>
        <v>1</v>
      </c>
      <c r="AV47" s="14"/>
      <c r="AW47" s="14"/>
      <c r="AX47" s="30">
        <f t="shared" si="14"/>
        <v>1</v>
      </c>
      <c r="AY47" s="14"/>
      <c r="AZ47" s="14"/>
      <c r="BA47" s="30">
        <f t="shared" si="15"/>
        <v>1</v>
      </c>
      <c r="BB47" s="14"/>
      <c r="BC47" s="14"/>
      <c r="BD47" s="30">
        <f t="shared" si="16"/>
        <v>1</v>
      </c>
      <c r="BE47" s="14"/>
      <c r="BF47" s="14"/>
      <c r="BG47" s="30">
        <f t="shared" si="17"/>
        <v>1</v>
      </c>
      <c r="BH47" s="14"/>
      <c r="BI47" s="14"/>
      <c r="BJ47" s="30">
        <f t="shared" si="18"/>
        <v>1</v>
      </c>
      <c r="BK47" s="14"/>
      <c r="BL47" s="14"/>
      <c r="BM47" s="30">
        <f t="shared" si="19"/>
        <v>1</v>
      </c>
      <c r="BN47" s="12"/>
      <c r="BO47" s="12"/>
      <c r="BP47" s="30">
        <f t="shared" si="20"/>
        <v>1</v>
      </c>
      <c r="BQ47" s="14"/>
      <c r="BR47" s="14"/>
      <c r="BS47" s="30">
        <f t="shared" si="21"/>
        <v>1</v>
      </c>
      <c r="BT47" s="12"/>
      <c r="BU47" s="12"/>
      <c r="BV47" s="30">
        <f t="shared" si="22"/>
        <v>1</v>
      </c>
      <c r="BW47" s="12"/>
      <c r="BX47" s="12"/>
      <c r="BY47" s="30">
        <f t="shared" si="23"/>
        <v>1</v>
      </c>
      <c r="BZ47" s="14"/>
      <c r="CA47" s="14"/>
      <c r="CB47" s="30">
        <f t="shared" si="24"/>
        <v>1</v>
      </c>
      <c r="CC47" s="14"/>
      <c r="CD47" s="14"/>
      <c r="CE47" s="30">
        <f t="shared" si="25"/>
        <v>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</row>
    <row r="48" spans="1:95" s="1" customFormat="1" ht="14" x14ac:dyDescent="0.3">
      <c r="A48" s="12" t="s">
        <v>16</v>
      </c>
      <c r="B48" s="13">
        <v>45625</v>
      </c>
      <c r="C48" s="14">
        <v>45637</v>
      </c>
      <c r="D48" s="14">
        <v>45639</v>
      </c>
      <c r="E48" s="15">
        <f t="shared" si="26"/>
        <v>3</v>
      </c>
      <c r="F48" s="14">
        <v>45640</v>
      </c>
      <c r="G48" s="14">
        <v>45647</v>
      </c>
      <c r="H48" s="15">
        <f t="shared" si="27"/>
        <v>8</v>
      </c>
      <c r="I48" s="17">
        <v>45657</v>
      </c>
      <c r="J48" s="17">
        <v>45657</v>
      </c>
      <c r="K48" s="15">
        <f t="shared" si="1"/>
        <v>1</v>
      </c>
      <c r="L48" s="33">
        <v>45836</v>
      </c>
      <c r="M48" s="33">
        <v>45840</v>
      </c>
      <c r="N48" s="16">
        <f t="shared" si="2"/>
        <v>5</v>
      </c>
      <c r="O48" s="14">
        <v>45864</v>
      </c>
      <c r="P48" s="14">
        <v>45874</v>
      </c>
      <c r="Q48" s="16">
        <f t="shared" si="3"/>
        <v>11</v>
      </c>
      <c r="R48" s="14">
        <v>45875</v>
      </c>
      <c r="S48" s="14">
        <v>45877</v>
      </c>
      <c r="T48" s="30">
        <f t="shared" si="4"/>
        <v>3</v>
      </c>
      <c r="U48" s="14">
        <v>45884</v>
      </c>
      <c r="V48" s="14">
        <v>45885</v>
      </c>
      <c r="W48" s="30">
        <f t="shared" si="5"/>
        <v>2</v>
      </c>
      <c r="X48" s="14">
        <v>45902</v>
      </c>
      <c r="Y48" s="14">
        <v>45906</v>
      </c>
      <c r="Z48" s="30">
        <f t="shared" si="6"/>
        <v>5</v>
      </c>
      <c r="AA48" s="14">
        <v>45918</v>
      </c>
      <c r="AB48" s="14">
        <v>45925</v>
      </c>
      <c r="AC48" s="30">
        <f t="shared" si="7"/>
        <v>8</v>
      </c>
      <c r="AD48" s="14">
        <v>45926</v>
      </c>
      <c r="AE48" s="14">
        <v>45929</v>
      </c>
      <c r="AF48" s="30">
        <f t="shared" si="8"/>
        <v>4</v>
      </c>
      <c r="AG48" s="14">
        <v>45935</v>
      </c>
      <c r="AH48" s="14">
        <v>45939</v>
      </c>
      <c r="AI48" s="30">
        <f t="shared" si="9"/>
        <v>5</v>
      </c>
      <c r="AJ48" s="14"/>
      <c r="AK48" s="14"/>
      <c r="AL48" s="30">
        <f t="shared" si="10"/>
        <v>1</v>
      </c>
      <c r="AM48" s="14"/>
      <c r="AN48" s="14"/>
      <c r="AO48" s="30">
        <f t="shared" si="11"/>
        <v>1</v>
      </c>
      <c r="AP48" s="14"/>
      <c r="AQ48" s="14"/>
      <c r="AR48" s="30">
        <f t="shared" si="12"/>
        <v>1</v>
      </c>
      <c r="AS48" s="14"/>
      <c r="AT48" s="14"/>
      <c r="AU48" s="30">
        <f t="shared" si="13"/>
        <v>1</v>
      </c>
      <c r="AV48" s="14"/>
      <c r="AW48" s="14"/>
      <c r="AX48" s="30">
        <f t="shared" si="14"/>
        <v>1</v>
      </c>
      <c r="AY48" s="14"/>
      <c r="AZ48" s="14"/>
      <c r="BA48" s="30">
        <f t="shared" si="15"/>
        <v>1</v>
      </c>
      <c r="BB48" s="14"/>
      <c r="BC48" s="14"/>
      <c r="BD48" s="30">
        <f t="shared" si="16"/>
        <v>1</v>
      </c>
      <c r="BE48" s="14"/>
      <c r="BF48" s="14"/>
      <c r="BG48" s="30">
        <f t="shared" si="17"/>
        <v>1</v>
      </c>
      <c r="BH48" s="14"/>
      <c r="BI48" s="14"/>
      <c r="BJ48" s="30">
        <f t="shared" si="18"/>
        <v>1</v>
      </c>
      <c r="BK48" s="14"/>
      <c r="BL48" s="14"/>
      <c r="BM48" s="30">
        <f t="shared" si="19"/>
        <v>1</v>
      </c>
      <c r="BN48" s="12"/>
      <c r="BO48" s="12"/>
      <c r="BP48" s="30">
        <f t="shared" si="20"/>
        <v>1</v>
      </c>
      <c r="BQ48" s="12"/>
      <c r="BR48" s="12"/>
      <c r="BS48" s="30">
        <f t="shared" si="21"/>
        <v>1</v>
      </c>
      <c r="BT48" s="12"/>
      <c r="BU48" s="12"/>
      <c r="BV48" s="30">
        <f t="shared" si="22"/>
        <v>1</v>
      </c>
      <c r="BW48" s="12"/>
      <c r="BX48" s="12"/>
      <c r="BY48" s="30">
        <f t="shared" si="23"/>
        <v>1</v>
      </c>
      <c r="BZ48" s="14"/>
      <c r="CA48" s="14"/>
      <c r="CB48" s="30">
        <f t="shared" si="24"/>
        <v>1</v>
      </c>
      <c r="CC48" s="14"/>
      <c r="CD48" s="14"/>
      <c r="CE48" s="30">
        <f t="shared" si="25"/>
        <v>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</row>
    <row r="49" spans="1:95" s="1" customFormat="1" ht="14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5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</row>
    <row r="50" spans="1:95" s="1" customFormat="1" ht="14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5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</row>
    <row r="51" spans="1:95" s="1" customFormat="1" ht="14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5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</row>
    <row r="52" spans="1:95" s="1" customFormat="1" ht="14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5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</row>
    <row r="53" spans="1:95" s="1" customFormat="1" ht="14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6">
        <v>45941</v>
      </c>
      <c r="AF53" s="5">
        <f>AE53-AK32</f>
        <v>23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5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</row>
    <row r="54" spans="1:95" ht="13.5" customHeight="1" x14ac:dyDescent="0.4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28"/>
      <c r="BL54" s="32"/>
      <c r="BM54" s="32"/>
      <c r="BN54" s="32"/>
      <c r="BO54" s="32"/>
      <c r="BP54" s="32"/>
      <c r="BQ54" s="32"/>
      <c r="BR54" s="32"/>
      <c r="BS54" s="32"/>
      <c r="BT54" s="6"/>
      <c r="BU54" s="6"/>
      <c r="BV54" s="6"/>
      <c r="BW54" s="6"/>
      <c r="BX54" s="6"/>
    </row>
    <row r="55" spans="1:95" ht="13.5" customHeight="1" x14ac:dyDescent="0.4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28"/>
      <c r="BL55" s="32"/>
      <c r="BM55" s="32"/>
      <c r="BN55" s="32"/>
      <c r="BO55" s="32"/>
      <c r="BP55" s="32"/>
      <c r="BQ55" s="32"/>
      <c r="BR55" s="32"/>
      <c r="BS55" s="32"/>
      <c r="BT55" s="6"/>
      <c r="BU55" s="6"/>
      <c r="BV55" s="6"/>
      <c r="BW55" s="6"/>
      <c r="BX55" s="6"/>
    </row>
    <row r="56" spans="1:95" ht="14.5" customHeight="1" x14ac:dyDescent="0.4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5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 spans="1:95" x14ac:dyDescent="0.3">
      <c r="A57" s="65" t="s">
        <v>65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5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 spans="1:95" x14ac:dyDescent="0.3">
      <c r="A58" s="5"/>
      <c r="B58" s="5"/>
      <c r="C58" s="5" t="s">
        <v>22</v>
      </c>
      <c r="D58" s="5"/>
      <c r="E58" s="5" t="s">
        <v>32</v>
      </c>
      <c r="F58" s="6"/>
      <c r="G58" s="5" t="s">
        <v>23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 spans="1:95" x14ac:dyDescent="0.3">
      <c r="A59" s="3" t="s">
        <v>24</v>
      </c>
      <c r="B59" s="3"/>
      <c r="C59" s="4">
        <v>45820</v>
      </c>
      <c r="D59" s="4"/>
      <c r="E59" s="4">
        <v>45821</v>
      </c>
      <c r="F59" s="6"/>
      <c r="G59" s="8">
        <v>45824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 spans="1:95" x14ac:dyDescent="0.3">
      <c r="A60" s="3" t="s">
        <v>25</v>
      </c>
      <c r="B60" s="3"/>
      <c r="C60" s="4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 spans="1:95" x14ac:dyDescent="0.3">
      <c r="A61" s="3"/>
      <c r="B61" s="3"/>
      <c r="C61" s="5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 spans="1:95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</row>
    <row r="63" spans="1:95" x14ac:dyDescent="0.3">
      <c r="A63" s="9" t="s">
        <v>26</v>
      </c>
      <c r="B63" s="10"/>
      <c r="C63" s="61">
        <v>1</v>
      </c>
      <c r="D63" s="66"/>
      <c r="E63" s="58" t="s">
        <v>27</v>
      </c>
      <c r="F63" s="66">
        <v>2</v>
      </c>
      <c r="G63" s="66"/>
      <c r="H63" s="58" t="s">
        <v>27</v>
      </c>
      <c r="I63" s="66">
        <v>3</v>
      </c>
      <c r="J63" s="66"/>
      <c r="K63" s="58" t="s">
        <v>27</v>
      </c>
      <c r="L63" s="66">
        <v>4</v>
      </c>
      <c r="M63" s="66"/>
      <c r="N63" s="58" t="s">
        <v>27</v>
      </c>
      <c r="O63" s="66">
        <v>5</v>
      </c>
      <c r="P63" s="66"/>
      <c r="Q63" s="58" t="s">
        <v>27</v>
      </c>
      <c r="R63" s="60">
        <v>6</v>
      </c>
      <c r="S63" s="61"/>
      <c r="T63" s="58" t="s">
        <v>27</v>
      </c>
      <c r="U63" s="60">
        <v>7</v>
      </c>
      <c r="V63" s="61"/>
      <c r="W63" s="58" t="s">
        <v>27</v>
      </c>
      <c r="X63" s="60">
        <v>8</v>
      </c>
      <c r="Y63" s="61"/>
      <c r="Z63" s="58" t="s">
        <v>27</v>
      </c>
      <c r="AA63" s="60">
        <v>9</v>
      </c>
      <c r="AB63" s="61"/>
      <c r="AC63" s="58" t="s">
        <v>27</v>
      </c>
      <c r="AD63" s="60">
        <v>10</v>
      </c>
      <c r="AE63" s="61"/>
      <c r="AF63" s="58" t="s">
        <v>27</v>
      </c>
      <c r="AG63" s="60">
        <v>11</v>
      </c>
      <c r="AH63" s="61"/>
      <c r="AI63" s="58" t="s">
        <v>27</v>
      </c>
      <c r="AJ63" s="60">
        <v>12</v>
      </c>
      <c r="AK63" s="61"/>
      <c r="AL63" s="58" t="s">
        <v>27</v>
      </c>
      <c r="AM63" s="60">
        <v>13</v>
      </c>
      <c r="AN63" s="61"/>
      <c r="AO63" s="58" t="s">
        <v>27</v>
      </c>
      <c r="AP63" s="60">
        <v>14</v>
      </c>
      <c r="AQ63" s="61"/>
      <c r="AR63" s="58" t="s">
        <v>27</v>
      </c>
      <c r="AS63" s="60">
        <v>15</v>
      </c>
      <c r="AT63" s="61"/>
      <c r="AU63" s="58" t="s">
        <v>27</v>
      </c>
      <c r="AV63" s="60">
        <v>16</v>
      </c>
      <c r="AW63" s="61"/>
      <c r="AX63" s="58" t="s">
        <v>27</v>
      </c>
      <c r="AY63" s="60">
        <v>17</v>
      </c>
      <c r="AZ63" s="61"/>
      <c r="BA63" s="58" t="s">
        <v>27</v>
      </c>
      <c r="BB63" s="60">
        <v>18</v>
      </c>
      <c r="BC63" s="61"/>
      <c r="BD63" s="58" t="s">
        <v>27</v>
      </c>
      <c r="BE63" s="60">
        <v>19</v>
      </c>
      <c r="BF63" s="61"/>
      <c r="BG63" s="58" t="s">
        <v>27</v>
      </c>
      <c r="BH63" s="60">
        <v>20</v>
      </c>
      <c r="BI63" s="61"/>
      <c r="BJ63" s="58" t="s">
        <v>27</v>
      </c>
      <c r="BK63" s="60">
        <v>21</v>
      </c>
      <c r="BL63" s="61"/>
      <c r="BM63" s="58" t="s">
        <v>28</v>
      </c>
      <c r="BN63" s="60">
        <v>22</v>
      </c>
      <c r="BO63" s="61"/>
      <c r="BP63" s="58" t="s">
        <v>28</v>
      </c>
      <c r="BQ63" s="60">
        <v>23</v>
      </c>
      <c r="BR63" s="61"/>
      <c r="BS63" s="58" t="s">
        <v>28</v>
      </c>
      <c r="BT63" s="60">
        <v>24</v>
      </c>
      <c r="BU63" s="61"/>
      <c r="BV63" s="58" t="s">
        <v>28</v>
      </c>
      <c r="BW63" s="60">
        <v>25</v>
      </c>
      <c r="BX63" s="61"/>
    </row>
    <row r="64" spans="1:95" x14ac:dyDescent="0.3">
      <c r="A64" s="11" t="s">
        <v>10</v>
      </c>
      <c r="B64" s="11" t="s">
        <v>29</v>
      </c>
      <c r="C64" s="12" t="s">
        <v>30</v>
      </c>
      <c r="D64" s="12" t="s">
        <v>31</v>
      </c>
      <c r="E64" s="59"/>
      <c r="F64" s="12" t="s">
        <v>30</v>
      </c>
      <c r="G64" s="12" t="s">
        <v>31</v>
      </c>
      <c r="H64" s="59"/>
      <c r="I64" s="12" t="s">
        <v>30</v>
      </c>
      <c r="J64" s="12" t="s">
        <v>31</v>
      </c>
      <c r="K64" s="59"/>
      <c r="L64" s="12" t="s">
        <v>30</v>
      </c>
      <c r="M64" s="12" t="s">
        <v>31</v>
      </c>
      <c r="N64" s="59"/>
      <c r="O64" s="12" t="s">
        <v>30</v>
      </c>
      <c r="P64" s="12" t="s">
        <v>31</v>
      </c>
      <c r="Q64" s="59"/>
      <c r="R64" s="12" t="s">
        <v>30</v>
      </c>
      <c r="S64" s="12" t="s">
        <v>31</v>
      </c>
      <c r="T64" s="59"/>
      <c r="U64" s="12" t="s">
        <v>30</v>
      </c>
      <c r="V64" s="12" t="s">
        <v>31</v>
      </c>
      <c r="W64" s="59"/>
      <c r="X64" s="12" t="s">
        <v>30</v>
      </c>
      <c r="Y64" s="12" t="s">
        <v>31</v>
      </c>
      <c r="Z64" s="59"/>
      <c r="AA64" s="12" t="s">
        <v>30</v>
      </c>
      <c r="AB64" s="12" t="s">
        <v>31</v>
      </c>
      <c r="AC64" s="59"/>
      <c r="AD64" s="12" t="s">
        <v>30</v>
      </c>
      <c r="AE64" s="12" t="s">
        <v>31</v>
      </c>
      <c r="AF64" s="59"/>
      <c r="AG64" s="12" t="s">
        <v>30</v>
      </c>
      <c r="AH64" s="12" t="s">
        <v>31</v>
      </c>
      <c r="AI64" s="59"/>
      <c r="AJ64" s="12" t="s">
        <v>30</v>
      </c>
      <c r="AK64" s="12" t="s">
        <v>31</v>
      </c>
      <c r="AL64" s="59"/>
      <c r="AM64" s="12" t="s">
        <v>30</v>
      </c>
      <c r="AN64" s="12" t="s">
        <v>31</v>
      </c>
      <c r="AO64" s="59"/>
      <c r="AP64" s="12" t="s">
        <v>30</v>
      </c>
      <c r="AQ64" s="12" t="s">
        <v>31</v>
      </c>
      <c r="AR64" s="59"/>
      <c r="AS64" s="12" t="s">
        <v>30</v>
      </c>
      <c r="AT64" s="12" t="s">
        <v>31</v>
      </c>
      <c r="AU64" s="59"/>
      <c r="AV64" s="12" t="s">
        <v>30</v>
      </c>
      <c r="AW64" s="12" t="s">
        <v>31</v>
      </c>
      <c r="AX64" s="59"/>
      <c r="AY64" s="12" t="s">
        <v>30</v>
      </c>
      <c r="AZ64" s="12" t="s">
        <v>31</v>
      </c>
      <c r="BA64" s="59"/>
      <c r="BB64" s="12" t="s">
        <v>30</v>
      </c>
      <c r="BC64" s="12" t="s">
        <v>31</v>
      </c>
      <c r="BD64" s="59"/>
      <c r="BE64" s="12" t="s">
        <v>30</v>
      </c>
      <c r="BF64" s="12" t="s">
        <v>31</v>
      </c>
      <c r="BG64" s="59"/>
      <c r="BH64" s="12" t="s">
        <v>30</v>
      </c>
      <c r="BI64" s="12" t="s">
        <v>31</v>
      </c>
      <c r="BJ64" s="59"/>
      <c r="BK64" s="12" t="s">
        <v>30</v>
      </c>
      <c r="BL64" s="12" t="s">
        <v>31</v>
      </c>
      <c r="BM64" s="67"/>
      <c r="BN64" s="12" t="s">
        <v>30</v>
      </c>
      <c r="BO64" s="12" t="s">
        <v>31</v>
      </c>
      <c r="BP64" s="67"/>
      <c r="BQ64" s="12" t="s">
        <v>30</v>
      </c>
      <c r="BR64" s="12" t="s">
        <v>31</v>
      </c>
      <c r="BS64" s="67"/>
      <c r="BT64" s="12" t="s">
        <v>30</v>
      </c>
      <c r="BU64" s="12" t="s">
        <v>31</v>
      </c>
      <c r="BV64" s="67"/>
      <c r="BW64" s="12" t="s">
        <v>30</v>
      </c>
      <c r="BX64" s="12" t="s">
        <v>31</v>
      </c>
    </row>
    <row r="65" spans="1:76" x14ac:dyDescent="0.3">
      <c r="A65" s="12" t="s">
        <v>17</v>
      </c>
      <c r="B65" s="13">
        <v>45790</v>
      </c>
      <c r="C65" s="14">
        <v>45799</v>
      </c>
      <c r="D65" s="14">
        <v>45800</v>
      </c>
      <c r="E65" s="15">
        <f>(D65-C65)+1</f>
        <v>2</v>
      </c>
      <c r="F65" s="14">
        <v>45811</v>
      </c>
      <c r="G65" s="14">
        <v>45812</v>
      </c>
      <c r="H65" s="15">
        <f>(G65-F65)+1</f>
        <v>2</v>
      </c>
      <c r="I65" s="14">
        <v>45820</v>
      </c>
      <c r="J65" s="14">
        <v>45821</v>
      </c>
      <c r="K65" s="15">
        <f>(J65-I65)+1</f>
        <v>2</v>
      </c>
      <c r="L65" s="14">
        <v>45836</v>
      </c>
      <c r="M65" s="14">
        <v>45837</v>
      </c>
      <c r="N65" s="16">
        <f>(M65-L65)+1</f>
        <v>2</v>
      </c>
      <c r="O65" s="14">
        <v>45850</v>
      </c>
      <c r="P65" s="14">
        <v>45851</v>
      </c>
      <c r="Q65" s="16">
        <f>(P65-O65)+1</f>
        <v>2</v>
      </c>
      <c r="R65" s="14">
        <v>45860</v>
      </c>
      <c r="S65" s="14">
        <v>45861</v>
      </c>
      <c r="T65" s="47">
        <f>(S65-R65)+1</f>
        <v>2</v>
      </c>
      <c r="U65" s="14">
        <v>45874</v>
      </c>
      <c r="V65" s="14">
        <v>45875</v>
      </c>
      <c r="W65" s="47">
        <f>(V65-U65)+1</f>
        <v>2</v>
      </c>
      <c r="X65" s="14">
        <v>45881</v>
      </c>
      <c r="Y65" s="14">
        <v>45881</v>
      </c>
      <c r="Z65" s="47">
        <f>(Y65-X65)+1</f>
        <v>1</v>
      </c>
      <c r="AA65" s="14">
        <v>45891</v>
      </c>
      <c r="AB65" s="14">
        <v>45891</v>
      </c>
      <c r="AC65" s="47">
        <f>(AB65-AA65)+1</f>
        <v>1</v>
      </c>
      <c r="AD65" s="14">
        <v>45899</v>
      </c>
      <c r="AE65" s="14">
        <v>45900</v>
      </c>
      <c r="AF65" s="47">
        <f t="shared" ref="AF65:AF84" si="28">(AE65-AD65)+1</f>
        <v>2</v>
      </c>
      <c r="AG65" s="14">
        <v>45910</v>
      </c>
      <c r="AH65" s="14">
        <v>45911</v>
      </c>
      <c r="AI65" s="47">
        <f t="shared" ref="AI65:AI84" si="29">(AH65-AG65)+1</f>
        <v>2</v>
      </c>
      <c r="AJ65" s="14">
        <v>45915</v>
      </c>
      <c r="AK65" s="14">
        <v>45916</v>
      </c>
      <c r="AL65" s="47">
        <f t="shared" ref="AL65:AL84" si="30">(AK65-AJ65)+1</f>
        <v>2</v>
      </c>
      <c r="AM65" s="14">
        <v>45926</v>
      </c>
      <c r="AN65" s="14">
        <v>45927</v>
      </c>
      <c r="AO65" s="47">
        <f t="shared" ref="AO65" si="31">(AN65-AM65)+1</f>
        <v>2</v>
      </c>
      <c r="AP65" s="14">
        <v>45936</v>
      </c>
      <c r="AQ65" s="20">
        <v>45937</v>
      </c>
      <c r="AR65" s="47">
        <f t="shared" ref="AR65" si="32">(AQ65-AP65)+1</f>
        <v>2</v>
      </c>
      <c r="AS65" s="14">
        <v>45944</v>
      </c>
      <c r="AT65" s="14">
        <v>45947</v>
      </c>
      <c r="AU65" s="47">
        <f t="shared" ref="AU65" si="33">(AT65-AS65)+1</f>
        <v>4</v>
      </c>
      <c r="AV65" s="14"/>
      <c r="AW65" s="14"/>
      <c r="AX65" s="47"/>
      <c r="AY65" s="14"/>
      <c r="AZ65" s="14"/>
      <c r="BA65" s="47"/>
      <c r="BB65" s="14"/>
      <c r="BC65" s="14"/>
      <c r="BD65" s="47"/>
      <c r="BE65" s="14"/>
      <c r="BF65" s="14"/>
      <c r="BG65" s="47"/>
      <c r="BH65" s="14"/>
      <c r="BI65" s="14"/>
      <c r="BJ65" s="47"/>
      <c r="BK65" s="14"/>
      <c r="BL65" s="14"/>
      <c r="BM65" s="47"/>
      <c r="BN65" s="14"/>
      <c r="BO65" s="14"/>
      <c r="BP65" s="47"/>
      <c r="BQ65" s="12"/>
      <c r="BR65" s="12"/>
      <c r="BS65" s="47"/>
      <c r="BT65" s="14"/>
      <c r="BU65" s="14"/>
      <c r="BV65" s="47"/>
      <c r="BW65" s="12"/>
      <c r="BX65" s="12"/>
    </row>
    <row r="66" spans="1:76" x14ac:dyDescent="0.3">
      <c r="A66" s="12" t="s">
        <v>11</v>
      </c>
      <c r="B66" s="13">
        <v>45795</v>
      </c>
      <c r="C66" s="14">
        <v>45811</v>
      </c>
      <c r="D66" s="14">
        <v>45829</v>
      </c>
      <c r="E66" s="15">
        <f t="shared" ref="E66:E86" si="34">(D66-C66)+1</f>
        <v>19</v>
      </c>
      <c r="F66" s="14">
        <v>45835</v>
      </c>
      <c r="G66" s="14">
        <v>45856</v>
      </c>
      <c r="H66" s="15">
        <f t="shared" ref="H66:H86" si="35">(G66-F66)+1</f>
        <v>22</v>
      </c>
      <c r="I66" s="14">
        <v>45857</v>
      </c>
      <c r="J66" s="14">
        <v>45873</v>
      </c>
      <c r="K66" s="15">
        <f t="shared" ref="K66:K84" si="36">(J66-I66)+1</f>
        <v>17</v>
      </c>
      <c r="L66" s="14">
        <v>45874</v>
      </c>
      <c r="M66" s="14">
        <v>45885</v>
      </c>
      <c r="N66" s="16">
        <f>(M66-L66)+1</f>
        <v>12</v>
      </c>
      <c r="O66" s="14">
        <v>45887</v>
      </c>
      <c r="P66" s="14">
        <v>45901</v>
      </c>
      <c r="Q66" s="16">
        <f t="shared" ref="Q66:Q84" si="37">(P66-O66)+1</f>
        <v>15</v>
      </c>
      <c r="R66" s="14">
        <v>45903</v>
      </c>
      <c r="S66" s="14">
        <v>45912</v>
      </c>
      <c r="T66" s="47">
        <f t="shared" ref="T66:T84" si="38">(S66-R66)+1</f>
        <v>10</v>
      </c>
      <c r="U66" s="14">
        <v>45913</v>
      </c>
      <c r="V66" s="14">
        <v>45921</v>
      </c>
      <c r="W66" s="47">
        <f t="shared" ref="W66:W84" si="39">(V66-U66)+1</f>
        <v>9</v>
      </c>
      <c r="X66" s="14">
        <v>45922</v>
      </c>
      <c r="Y66" s="14">
        <v>45929</v>
      </c>
      <c r="Z66" s="47">
        <f t="shared" ref="Z66:Z84" si="40">(Y66-X66)+1</f>
        <v>8</v>
      </c>
      <c r="AA66" s="14">
        <v>45930</v>
      </c>
      <c r="AB66" s="14">
        <v>45939</v>
      </c>
      <c r="AC66" s="47">
        <f t="shared" ref="AC66:AC84" si="41">(AB66-AA66)+1</f>
        <v>10</v>
      </c>
      <c r="AD66" s="14">
        <v>45940</v>
      </c>
      <c r="AE66" s="14"/>
      <c r="AF66" s="47">
        <f t="shared" si="28"/>
        <v>-45939</v>
      </c>
      <c r="AG66" s="14"/>
      <c r="AH66" s="14"/>
      <c r="AI66" s="47">
        <f t="shared" si="29"/>
        <v>1</v>
      </c>
      <c r="AJ66" s="14"/>
      <c r="AK66" s="14"/>
      <c r="AL66" s="47">
        <f t="shared" si="30"/>
        <v>1</v>
      </c>
      <c r="AM66" s="14"/>
      <c r="AN66" s="14"/>
      <c r="AO66" s="47"/>
      <c r="AP66" s="14"/>
      <c r="AQ66" s="14"/>
      <c r="AR66" s="47"/>
      <c r="AS66" s="14"/>
      <c r="AT66" s="14"/>
      <c r="AU66" s="47"/>
      <c r="AV66" s="14"/>
      <c r="AW66" s="14"/>
      <c r="AX66" s="47"/>
      <c r="AY66" s="14"/>
      <c r="AZ66" s="14"/>
      <c r="BA66" s="47"/>
      <c r="BB66" s="17"/>
      <c r="BC66" s="17"/>
      <c r="BD66" s="47"/>
      <c r="BE66" s="14"/>
      <c r="BF66" s="14"/>
      <c r="BG66" s="47"/>
      <c r="BH66" s="14"/>
      <c r="BI66" s="14"/>
      <c r="BJ66" s="47"/>
      <c r="BK66" s="14"/>
      <c r="BL66" s="14"/>
      <c r="BM66" s="47"/>
      <c r="BN66" s="14"/>
      <c r="BO66" s="14"/>
      <c r="BP66" s="47"/>
      <c r="BQ66" s="14"/>
      <c r="BR66" s="14"/>
      <c r="BS66" s="47"/>
      <c r="BT66" s="14"/>
      <c r="BU66" s="14"/>
      <c r="BV66" s="47"/>
      <c r="BW66" s="12"/>
      <c r="BX66" s="12"/>
    </row>
    <row r="67" spans="1:76" x14ac:dyDescent="0.3">
      <c r="A67" s="18" t="s">
        <v>18</v>
      </c>
      <c r="B67" s="19">
        <v>45807</v>
      </c>
      <c r="C67" s="14">
        <v>45832</v>
      </c>
      <c r="D67" s="14">
        <v>45840</v>
      </c>
      <c r="E67" s="15">
        <f t="shared" si="34"/>
        <v>9</v>
      </c>
      <c r="F67" s="14">
        <v>45850</v>
      </c>
      <c r="G67" s="14">
        <v>45865</v>
      </c>
      <c r="H67" s="15">
        <f t="shared" si="35"/>
        <v>16</v>
      </c>
      <c r="I67" s="14">
        <v>45888</v>
      </c>
      <c r="J67" s="14">
        <v>45897</v>
      </c>
      <c r="K67" s="15">
        <f t="shared" si="36"/>
        <v>10</v>
      </c>
      <c r="L67" s="14">
        <v>45908</v>
      </c>
      <c r="M67" s="14">
        <v>45917</v>
      </c>
      <c r="N67" s="16">
        <f t="shared" ref="N67:N70" si="42">(M67-L67)+1</f>
        <v>10</v>
      </c>
      <c r="O67" s="14">
        <v>45918</v>
      </c>
      <c r="P67" s="14">
        <v>45921</v>
      </c>
      <c r="Q67" s="16">
        <f t="shared" si="37"/>
        <v>4</v>
      </c>
      <c r="R67" s="14">
        <v>45926</v>
      </c>
      <c r="S67" s="14">
        <v>45933</v>
      </c>
      <c r="T67" s="47">
        <f t="shared" si="38"/>
        <v>8</v>
      </c>
      <c r="U67" s="14">
        <v>45934</v>
      </c>
      <c r="V67" s="14">
        <v>45939</v>
      </c>
      <c r="W67" s="47">
        <f t="shared" si="39"/>
        <v>6</v>
      </c>
      <c r="X67" s="14">
        <v>45942</v>
      </c>
      <c r="Y67" s="14"/>
      <c r="Z67" s="47">
        <f t="shared" si="40"/>
        <v>-45941</v>
      </c>
      <c r="AA67" s="14"/>
      <c r="AB67" s="14"/>
      <c r="AC67" s="47">
        <f t="shared" si="41"/>
        <v>1</v>
      </c>
      <c r="AD67" s="14"/>
      <c r="AE67" s="14"/>
      <c r="AF67" s="47">
        <f t="shared" si="28"/>
        <v>1</v>
      </c>
      <c r="AG67" s="14"/>
      <c r="AH67" s="14"/>
      <c r="AI67" s="47">
        <f t="shared" si="29"/>
        <v>1</v>
      </c>
      <c r="AJ67" s="14"/>
      <c r="AK67" s="14"/>
      <c r="AL67" s="47">
        <f t="shared" si="30"/>
        <v>1</v>
      </c>
      <c r="AM67" s="14"/>
      <c r="AN67" s="14"/>
      <c r="AO67" s="47"/>
      <c r="AP67" s="20"/>
      <c r="AQ67" s="17"/>
      <c r="AR67" s="47"/>
      <c r="AS67" s="14"/>
      <c r="AT67" s="14"/>
      <c r="AU67" s="47"/>
      <c r="AV67" s="14"/>
      <c r="AW67" s="14"/>
      <c r="AX67" s="47"/>
      <c r="AY67" s="14"/>
      <c r="AZ67" s="14"/>
      <c r="BA67" s="47"/>
      <c r="BB67" s="14"/>
      <c r="BC67" s="14"/>
      <c r="BD67" s="47"/>
      <c r="BE67" s="14"/>
      <c r="BF67" s="14"/>
      <c r="BG67" s="47"/>
      <c r="BH67" s="14"/>
      <c r="BI67" s="14"/>
      <c r="BJ67" s="47"/>
      <c r="BK67" s="14"/>
      <c r="BL67" s="14"/>
      <c r="BM67" s="47"/>
      <c r="BN67" s="14"/>
      <c r="BO67" s="14"/>
      <c r="BP67" s="47"/>
      <c r="BQ67" s="14"/>
      <c r="BR67" s="14"/>
      <c r="BS67" s="47"/>
      <c r="BT67" s="14"/>
      <c r="BU67" s="14"/>
      <c r="BV67" s="47"/>
      <c r="BW67" s="12"/>
      <c r="BX67" s="12"/>
    </row>
    <row r="68" spans="1:76" x14ac:dyDescent="0.3">
      <c r="A68" s="12" t="s">
        <v>20</v>
      </c>
      <c r="B68" s="13">
        <v>45815</v>
      </c>
      <c r="C68" s="14">
        <v>45825</v>
      </c>
      <c r="D68" s="14">
        <v>45829</v>
      </c>
      <c r="E68" s="15">
        <f t="shared" si="34"/>
        <v>5</v>
      </c>
      <c r="F68" s="14">
        <v>45835</v>
      </c>
      <c r="G68" s="14">
        <v>45844</v>
      </c>
      <c r="H68" s="15">
        <f t="shared" si="35"/>
        <v>10</v>
      </c>
      <c r="I68" s="14">
        <v>45854</v>
      </c>
      <c r="J68" s="14">
        <v>45860</v>
      </c>
      <c r="K68" s="15">
        <f t="shared" si="36"/>
        <v>7</v>
      </c>
      <c r="L68" s="14">
        <v>45865</v>
      </c>
      <c r="M68" s="14">
        <v>45867</v>
      </c>
      <c r="N68" s="16">
        <f t="shared" si="42"/>
        <v>3</v>
      </c>
      <c r="O68" s="14">
        <v>45884</v>
      </c>
      <c r="P68" s="14">
        <v>45888</v>
      </c>
      <c r="Q68" s="16">
        <f t="shared" si="37"/>
        <v>5</v>
      </c>
      <c r="R68" s="14">
        <v>45896</v>
      </c>
      <c r="S68" s="14">
        <v>45902</v>
      </c>
      <c r="T68" s="47">
        <f t="shared" si="38"/>
        <v>7</v>
      </c>
      <c r="U68" s="14">
        <v>45910</v>
      </c>
      <c r="V68" s="14">
        <v>45926</v>
      </c>
      <c r="W68" s="47">
        <f t="shared" si="39"/>
        <v>17</v>
      </c>
      <c r="X68" s="14">
        <v>45933</v>
      </c>
      <c r="Y68" s="14">
        <v>45939</v>
      </c>
      <c r="Z68" s="47">
        <f t="shared" si="40"/>
        <v>7</v>
      </c>
      <c r="AA68" s="14"/>
      <c r="AB68" s="14"/>
      <c r="AC68" s="47">
        <f t="shared" si="41"/>
        <v>1</v>
      </c>
      <c r="AD68" s="14"/>
      <c r="AE68" s="14"/>
      <c r="AF68" s="47">
        <f t="shared" si="28"/>
        <v>1</v>
      </c>
      <c r="AG68" s="14"/>
      <c r="AH68" s="14"/>
      <c r="AI68" s="47">
        <f t="shared" si="29"/>
        <v>1</v>
      </c>
      <c r="AJ68" s="14"/>
      <c r="AK68" s="14"/>
      <c r="AL68" s="47">
        <f t="shared" si="30"/>
        <v>1</v>
      </c>
      <c r="AM68" s="14"/>
      <c r="AN68" s="14"/>
      <c r="AO68" s="47"/>
      <c r="AP68" s="14"/>
      <c r="AQ68" s="14"/>
      <c r="AR68" s="47"/>
      <c r="AS68" s="14"/>
      <c r="AT68" s="14"/>
      <c r="AU68" s="47"/>
      <c r="AV68" s="14"/>
      <c r="AW68" s="14"/>
      <c r="AX68" s="47"/>
      <c r="AY68" s="14"/>
      <c r="AZ68" s="14"/>
      <c r="BA68" s="47"/>
      <c r="BB68" s="14"/>
      <c r="BC68" s="14"/>
      <c r="BD68" s="47"/>
      <c r="BE68" s="14"/>
      <c r="BF68" s="14"/>
      <c r="BG68" s="47"/>
      <c r="BH68" s="14"/>
      <c r="BI68" s="14"/>
      <c r="BJ68" s="47"/>
      <c r="BK68" s="14"/>
      <c r="BL68" s="14"/>
      <c r="BM68" s="47"/>
      <c r="BN68" s="14"/>
      <c r="BO68" s="14"/>
      <c r="BP68" s="47"/>
      <c r="BQ68" s="14"/>
      <c r="BR68" s="14"/>
      <c r="BS68" s="47"/>
      <c r="BT68" s="14"/>
      <c r="BU68" s="14"/>
      <c r="BV68" s="47"/>
      <c r="BW68" s="14"/>
      <c r="BX68" s="14"/>
    </row>
    <row r="69" spans="1:76" x14ac:dyDescent="0.3">
      <c r="A69" s="12" t="s">
        <v>21</v>
      </c>
      <c r="B69" s="13">
        <v>45825</v>
      </c>
      <c r="C69" s="14">
        <v>45834</v>
      </c>
      <c r="D69" s="14">
        <v>45840</v>
      </c>
      <c r="E69" s="15">
        <f t="shared" si="34"/>
        <v>7</v>
      </c>
      <c r="F69" s="14">
        <v>45857</v>
      </c>
      <c r="G69" s="14">
        <v>45863</v>
      </c>
      <c r="H69" s="15">
        <f t="shared" si="35"/>
        <v>7</v>
      </c>
      <c r="I69" s="14">
        <v>45873</v>
      </c>
      <c r="J69" s="14">
        <v>45877</v>
      </c>
      <c r="K69" s="15">
        <f t="shared" si="36"/>
        <v>5</v>
      </c>
      <c r="L69" s="14">
        <v>45892</v>
      </c>
      <c r="M69" s="14">
        <v>45899</v>
      </c>
      <c r="N69" s="16">
        <f t="shared" si="42"/>
        <v>8</v>
      </c>
      <c r="O69" s="14">
        <v>45906</v>
      </c>
      <c r="P69" s="14">
        <v>45911</v>
      </c>
      <c r="Q69" s="16">
        <f t="shared" si="37"/>
        <v>6</v>
      </c>
      <c r="R69" s="14">
        <v>45918</v>
      </c>
      <c r="S69" s="14">
        <v>45923</v>
      </c>
      <c r="T69" s="47">
        <f t="shared" si="38"/>
        <v>6</v>
      </c>
      <c r="U69" s="14">
        <v>45928</v>
      </c>
      <c r="V69" s="14">
        <v>45935</v>
      </c>
      <c r="W69" s="47">
        <f t="shared" si="39"/>
        <v>8</v>
      </c>
      <c r="X69" s="14">
        <v>45936</v>
      </c>
      <c r="Y69" s="14">
        <v>45940</v>
      </c>
      <c r="Z69" s="47">
        <f t="shared" si="40"/>
        <v>5</v>
      </c>
      <c r="AA69" s="14">
        <v>45942</v>
      </c>
      <c r="AB69" s="14"/>
      <c r="AC69" s="47">
        <f t="shared" si="41"/>
        <v>-45941</v>
      </c>
      <c r="AD69" s="14"/>
      <c r="AE69" s="14"/>
      <c r="AF69" s="47">
        <f t="shared" si="28"/>
        <v>1</v>
      </c>
      <c r="AG69" s="14"/>
      <c r="AH69" s="14"/>
      <c r="AI69" s="47">
        <f t="shared" si="29"/>
        <v>1</v>
      </c>
      <c r="AJ69" s="14"/>
      <c r="AK69" s="14"/>
      <c r="AL69" s="47">
        <f t="shared" si="30"/>
        <v>1</v>
      </c>
      <c r="AM69" s="14"/>
      <c r="AN69" s="14"/>
      <c r="AO69" s="47"/>
      <c r="AP69" s="14"/>
      <c r="AQ69" s="14"/>
      <c r="AR69" s="47"/>
      <c r="AS69" s="17"/>
      <c r="AT69" s="17"/>
      <c r="AU69" s="47"/>
      <c r="AV69" s="14"/>
      <c r="AW69" s="14"/>
      <c r="AX69" s="47"/>
      <c r="AY69" s="14"/>
      <c r="AZ69" s="14"/>
      <c r="BA69" s="47"/>
      <c r="BB69" s="14"/>
      <c r="BC69" s="14"/>
      <c r="BD69" s="47"/>
      <c r="BE69" s="14"/>
      <c r="BF69" s="14"/>
      <c r="BG69" s="47"/>
      <c r="BH69" s="14"/>
      <c r="BI69" s="14"/>
      <c r="BJ69" s="47"/>
      <c r="BK69" s="14"/>
      <c r="BL69" s="14"/>
      <c r="BM69" s="47"/>
      <c r="BN69" s="14"/>
      <c r="BO69" s="14"/>
      <c r="BP69" s="47"/>
      <c r="BQ69" s="14"/>
      <c r="BR69" s="14"/>
      <c r="BS69" s="47"/>
      <c r="BT69" s="14"/>
      <c r="BU69" s="14"/>
      <c r="BV69" s="47"/>
      <c r="BW69" s="12"/>
      <c r="BX69" s="12"/>
    </row>
    <row r="70" spans="1:76" x14ac:dyDescent="0.3">
      <c r="A70" s="35" t="s">
        <v>9</v>
      </c>
      <c r="B70" s="34">
        <v>45831</v>
      </c>
      <c r="C70" s="14">
        <v>45831</v>
      </c>
      <c r="D70" s="14">
        <v>45839</v>
      </c>
      <c r="E70" s="15">
        <f t="shared" si="34"/>
        <v>9</v>
      </c>
      <c r="F70" s="14">
        <v>45862</v>
      </c>
      <c r="G70" s="14">
        <v>45870</v>
      </c>
      <c r="H70" s="15">
        <f t="shared" si="35"/>
        <v>9</v>
      </c>
      <c r="I70" s="14">
        <v>45877</v>
      </c>
      <c r="J70" s="14">
        <v>45885</v>
      </c>
      <c r="K70" s="15">
        <f t="shared" si="36"/>
        <v>9</v>
      </c>
      <c r="L70" s="14">
        <v>45896</v>
      </c>
      <c r="M70" s="14">
        <v>45909</v>
      </c>
      <c r="N70" s="16">
        <f t="shared" si="42"/>
        <v>14</v>
      </c>
      <c r="O70" s="14">
        <v>45918</v>
      </c>
      <c r="P70" s="14">
        <v>45926</v>
      </c>
      <c r="Q70" s="16">
        <f t="shared" si="37"/>
        <v>9</v>
      </c>
      <c r="R70" s="14">
        <v>45939</v>
      </c>
      <c r="S70" s="14"/>
      <c r="T70" s="47">
        <f t="shared" si="38"/>
        <v>-45938</v>
      </c>
      <c r="U70" s="14"/>
      <c r="V70" s="14"/>
      <c r="W70" s="47">
        <f t="shared" si="39"/>
        <v>1</v>
      </c>
      <c r="X70" s="14"/>
      <c r="Y70" s="14"/>
      <c r="Z70" s="47">
        <f t="shared" si="40"/>
        <v>1</v>
      </c>
      <c r="AA70" s="14"/>
      <c r="AB70" s="14"/>
      <c r="AC70" s="47">
        <f t="shared" si="41"/>
        <v>1</v>
      </c>
      <c r="AD70" s="14"/>
      <c r="AE70" s="14"/>
      <c r="AF70" s="47">
        <f t="shared" si="28"/>
        <v>1</v>
      </c>
      <c r="AG70" s="14"/>
      <c r="AH70" s="14"/>
      <c r="AI70" s="47">
        <f t="shared" si="29"/>
        <v>1</v>
      </c>
      <c r="AJ70" s="14"/>
      <c r="AK70" s="14"/>
      <c r="AL70" s="47">
        <f t="shared" si="30"/>
        <v>1</v>
      </c>
      <c r="AM70" s="14"/>
      <c r="AN70" s="17"/>
      <c r="AO70" s="47"/>
      <c r="AP70" s="14"/>
      <c r="AQ70" s="14"/>
      <c r="AR70" s="47"/>
      <c r="AS70" s="14"/>
      <c r="AT70" s="14"/>
      <c r="AU70" s="47"/>
      <c r="AV70" s="14"/>
      <c r="AW70" s="14"/>
      <c r="AX70" s="47"/>
      <c r="AY70" s="14"/>
      <c r="AZ70" s="14"/>
      <c r="BA70" s="47"/>
      <c r="BB70" s="14"/>
      <c r="BC70" s="14"/>
      <c r="BD70" s="47"/>
      <c r="BE70" s="14"/>
      <c r="BF70" s="14"/>
      <c r="BG70" s="47"/>
      <c r="BH70" s="14"/>
      <c r="BI70" s="14"/>
      <c r="BJ70" s="47"/>
      <c r="BK70" s="14"/>
      <c r="BL70" s="14"/>
      <c r="BM70" s="47"/>
      <c r="BN70" s="14"/>
      <c r="BO70" s="14"/>
      <c r="BP70" s="47"/>
      <c r="BQ70" s="14"/>
      <c r="BR70" s="14"/>
      <c r="BS70" s="47"/>
      <c r="BT70" s="14"/>
      <c r="BU70" s="14"/>
      <c r="BV70" s="47"/>
      <c r="BW70" s="14"/>
      <c r="BX70" s="14"/>
    </row>
    <row r="71" spans="1:76" x14ac:dyDescent="0.3">
      <c r="A71" s="12" t="s">
        <v>33</v>
      </c>
      <c r="B71" s="13">
        <v>45833</v>
      </c>
      <c r="C71" s="14">
        <v>45839</v>
      </c>
      <c r="D71" s="14">
        <v>45849</v>
      </c>
      <c r="E71" s="15">
        <f t="shared" si="34"/>
        <v>11</v>
      </c>
      <c r="F71" s="14">
        <v>45856</v>
      </c>
      <c r="G71" s="14">
        <v>45863</v>
      </c>
      <c r="H71" s="15">
        <f t="shared" si="35"/>
        <v>8</v>
      </c>
      <c r="I71" s="14">
        <v>45876</v>
      </c>
      <c r="J71" s="14">
        <v>45880</v>
      </c>
      <c r="K71" s="15">
        <f t="shared" si="36"/>
        <v>5</v>
      </c>
      <c r="L71" s="14">
        <v>45889</v>
      </c>
      <c r="M71" s="14">
        <v>45895</v>
      </c>
      <c r="N71" s="16">
        <f t="shared" ref="N71:N84" si="43">(M71-L71)+1</f>
        <v>7</v>
      </c>
      <c r="O71" s="14">
        <v>45903</v>
      </c>
      <c r="P71" s="14">
        <v>45908</v>
      </c>
      <c r="Q71" s="16">
        <f t="shared" si="37"/>
        <v>6</v>
      </c>
      <c r="R71" s="14">
        <v>45927</v>
      </c>
      <c r="S71" s="14">
        <v>45932</v>
      </c>
      <c r="T71" s="47">
        <f t="shared" si="38"/>
        <v>6</v>
      </c>
      <c r="U71" s="14">
        <v>45940</v>
      </c>
      <c r="V71" s="14"/>
      <c r="W71" s="47">
        <f t="shared" si="39"/>
        <v>-45939</v>
      </c>
      <c r="X71" s="14"/>
      <c r="Y71" s="14"/>
      <c r="Z71" s="47">
        <f t="shared" si="40"/>
        <v>1</v>
      </c>
      <c r="AA71" s="14"/>
      <c r="AB71" s="14"/>
      <c r="AC71" s="47">
        <f t="shared" si="41"/>
        <v>1</v>
      </c>
      <c r="AD71" s="14"/>
      <c r="AE71" s="14"/>
      <c r="AF71" s="47">
        <f t="shared" si="28"/>
        <v>1</v>
      </c>
      <c r="AG71" s="14"/>
      <c r="AH71" s="14"/>
      <c r="AI71" s="47">
        <f t="shared" si="29"/>
        <v>1</v>
      </c>
      <c r="AJ71" s="14"/>
      <c r="AK71" s="14"/>
      <c r="AL71" s="47">
        <f t="shared" si="30"/>
        <v>1</v>
      </c>
      <c r="AM71" s="14"/>
      <c r="AN71" s="14"/>
      <c r="AO71" s="47"/>
      <c r="AP71" s="17"/>
      <c r="AQ71" s="17"/>
      <c r="AR71" s="47"/>
      <c r="AS71" s="14"/>
      <c r="AT71" s="14"/>
      <c r="AU71" s="47"/>
      <c r="AV71" s="14"/>
      <c r="AW71" s="14"/>
      <c r="AX71" s="47"/>
      <c r="AY71" s="14"/>
      <c r="AZ71" s="14"/>
      <c r="BA71" s="47"/>
      <c r="BB71" s="14"/>
      <c r="BC71" s="14"/>
      <c r="BD71" s="47"/>
      <c r="BE71" s="14"/>
      <c r="BF71" s="14"/>
      <c r="BG71" s="47"/>
      <c r="BH71" s="14"/>
      <c r="BI71" s="14"/>
      <c r="BJ71" s="47"/>
      <c r="BK71" s="14"/>
      <c r="BL71" s="14"/>
      <c r="BM71" s="47"/>
      <c r="BN71" s="14"/>
      <c r="BO71" s="14"/>
      <c r="BP71" s="47"/>
      <c r="BQ71" s="14"/>
      <c r="BR71" s="14"/>
      <c r="BS71" s="47"/>
      <c r="BT71" s="14"/>
      <c r="BU71" s="14"/>
      <c r="BV71" s="47"/>
      <c r="BW71" s="14"/>
      <c r="BX71" s="14"/>
    </row>
    <row r="72" spans="1:76" x14ac:dyDescent="0.3">
      <c r="A72" s="35" t="s">
        <v>12</v>
      </c>
      <c r="B72" s="34">
        <v>45839</v>
      </c>
      <c r="C72" s="14">
        <v>45839</v>
      </c>
      <c r="D72" s="14">
        <v>45848</v>
      </c>
      <c r="E72" s="15">
        <f t="shared" si="34"/>
        <v>10</v>
      </c>
      <c r="F72" s="14">
        <v>45866</v>
      </c>
      <c r="G72" s="14">
        <v>45875</v>
      </c>
      <c r="H72" s="15">
        <f t="shared" si="35"/>
        <v>10</v>
      </c>
      <c r="I72" s="14">
        <v>45885</v>
      </c>
      <c r="J72" s="14">
        <v>45890</v>
      </c>
      <c r="K72" s="15">
        <f t="shared" si="36"/>
        <v>6</v>
      </c>
      <c r="L72" s="14">
        <v>45903</v>
      </c>
      <c r="M72" s="14">
        <v>45911</v>
      </c>
      <c r="N72" s="16">
        <f t="shared" si="43"/>
        <v>9</v>
      </c>
      <c r="O72" s="14">
        <v>45922</v>
      </c>
      <c r="P72" s="14">
        <v>45931</v>
      </c>
      <c r="Q72" s="16">
        <f t="shared" si="37"/>
        <v>10</v>
      </c>
      <c r="R72" s="14">
        <v>45932</v>
      </c>
      <c r="S72" s="14">
        <v>45936</v>
      </c>
      <c r="T72" s="47">
        <f t="shared" si="38"/>
        <v>5</v>
      </c>
      <c r="U72" s="14">
        <v>45943</v>
      </c>
      <c r="V72" s="14"/>
      <c r="W72" s="47">
        <f t="shared" si="39"/>
        <v>-45942</v>
      </c>
      <c r="X72" s="14"/>
      <c r="Y72" s="14"/>
      <c r="Z72" s="47">
        <f t="shared" si="40"/>
        <v>1</v>
      </c>
      <c r="AA72" s="14"/>
      <c r="AB72" s="14"/>
      <c r="AC72" s="47">
        <f t="shared" si="41"/>
        <v>1</v>
      </c>
      <c r="AD72" s="14"/>
      <c r="AE72" s="14"/>
      <c r="AF72" s="47">
        <f t="shared" si="28"/>
        <v>1</v>
      </c>
      <c r="AG72" s="14"/>
      <c r="AH72" s="14"/>
      <c r="AI72" s="47">
        <f t="shared" si="29"/>
        <v>1</v>
      </c>
      <c r="AJ72" s="14"/>
      <c r="AK72" s="14"/>
      <c r="AL72" s="47">
        <f t="shared" si="30"/>
        <v>1</v>
      </c>
      <c r="AM72" s="14"/>
      <c r="AN72" s="14"/>
      <c r="AO72" s="47"/>
      <c r="AP72" s="14"/>
      <c r="AQ72" s="17"/>
      <c r="AR72" s="47"/>
      <c r="AS72" s="14"/>
      <c r="AT72" s="14"/>
      <c r="AU72" s="47"/>
      <c r="AV72" s="14"/>
      <c r="AW72" s="14"/>
      <c r="AX72" s="47"/>
      <c r="AY72" s="14"/>
      <c r="AZ72" s="14"/>
      <c r="BA72" s="47"/>
      <c r="BB72" s="14"/>
      <c r="BC72" s="14"/>
      <c r="BD72" s="47"/>
      <c r="BE72" s="14"/>
      <c r="BF72" s="14"/>
      <c r="BG72" s="47"/>
      <c r="BH72" s="14"/>
      <c r="BI72" s="14"/>
      <c r="BJ72" s="47"/>
      <c r="BK72" s="14"/>
      <c r="BL72" s="14"/>
      <c r="BM72" s="47"/>
      <c r="BN72" s="14"/>
      <c r="BO72" s="14"/>
      <c r="BP72" s="47"/>
      <c r="BQ72" s="14"/>
      <c r="BR72" s="14"/>
      <c r="BS72" s="47"/>
      <c r="BT72" s="14"/>
      <c r="BU72" s="14"/>
      <c r="BV72" s="47"/>
      <c r="BW72" s="14"/>
      <c r="BX72" s="14"/>
    </row>
    <row r="73" spans="1:76" x14ac:dyDescent="0.3">
      <c r="A73" s="12" t="s">
        <v>37</v>
      </c>
      <c r="B73" s="13">
        <v>45842</v>
      </c>
      <c r="C73" s="14">
        <v>45856</v>
      </c>
      <c r="D73" s="23">
        <v>45863</v>
      </c>
      <c r="E73" s="15">
        <f t="shared" si="34"/>
        <v>8</v>
      </c>
      <c r="F73" s="14">
        <v>45869</v>
      </c>
      <c r="G73" s="14">
        <v>45873</v>
      </c>
      <c r="H73" s="15">
        <f t="shared" si="35"/>
        <v>5</v>
      </c>
      <c r="I73" s="45">
        <v>45897</v>
      </c>
      <c r="J73" s="45">
        <v>45901</v>
      </c>
      <c r="K73" s="29">
        <f t="shared" si="36"/>
        <v>5</v>
      </c>
      <c r="L73" s="45">
        <v>45910</v>
      </c>
      <c r="M73" s="45">
        <v>45918</v>
      </c>
      <c r="N73" s="16">
        <f t="shared" si="43"/>
        <v>9</v>
      </c>
      <c r="O73" s="45">
        <v>45919</v>
      </c>
      <c r="P73" s="45">
        <v>45925</v>
      </c>
      <c r="Q73" s="16">
        <f t="shared" si="37"/>
        <v>7</v>
      </c>
      <c r="R73" s="45">
        <v>45926</v>
      </c>
      <c r="S73" s="45">
        <v>45929</v>
      </c>
      <c r="T73" s="47">
        <f t="shared" si="38"/>
        <v>4</v>
      </c>
      <c r="U73" s="45">
        <v>45935</v>
      </c>
      <c r="V73" s="14">
        <v>45941</v>
      </c>
      <c r="W73" s="47">
        <f t="shared" si="39"/>
        <v>7</v>
      </c>
      <c r="X73" s="14">
        <v>45942</v>
      </c>
      <c r="Y73" s="12"/>
      <c r="Z73" s="47">
        <f t="shared" si="40"/>
        <v>-45941</v>
      </c>
      <c r="AA73" s="12"/>
      <c r="AB73" s="12"/>
      <c r="AC73" s="47">
        <f t="shared" si="41"/>
        <v>1</v>
      </c>
      <c r="AD73" s="12"/>
      <c r="AE73" s="12"/>
      <c r="AF73" s="47">
        <f t="shared" si="28"/>
        <v>1</v>
      </c>
      <c r="AG73" s="12"/>
      <c r="AH73" s="12"/>
      <c r="AI73" s="47">
        <f t="shared" si="29"/>
        <v>1</v>
      </c>
      <c r="AJ73" s="5"/>
      <c r="AK73" s="5"/>
      <c r="AL73" s="47">
        <f t="shared" si="30"/>
        <v>1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</row>
    <row r="74" spans="1:76" s="5" customFormat="1" x14ac:dyDescent="0.3">
      <c r="A74" s="12" t="s">
        <v>58</v>
      </c>
      <c r="B74" s="13">
        <v>45830</v>
      </c>
      <c r="C74" s="14">
        <v>45847</v>
      </c>
      <c r="D74" s="23">
        <v>45851</v>
      </c>
      <c r="E74" s="15">
        <f t="shared" si="34"/>
        <v>5</v>
      </c>
      <c r="F74" s="14">
        <v>45861</v>
      </c>
      <c r="G74" s="14">
        <v>45865</v>
      </c>
      <c r="H74" s="15">
        <f t="shared" si="35"/>
        <v>5</v>
      </c>
      <c r="I74" s="45">
        <v>45877</v>
      </c>
      <c r="J74" s="45">
        <v>45883</v>
      </c>
      <c r="K74" s="29">
        <f t="shared" si="36"/>
        <v>7</v>
      </c>
      <c r="L74" s="45">
        <v>45891</v>
      </c>
      <c r="M74" s="45">
        <v>45898</v>
      </c>
      <c r="N74" s="16">
        <f t="shared" si="43"/>
        <v>8</v>
      </c>
      <c r="O74" s="45">
        <v>45922</v>
      </c>
      <c r="P74" s="45">
        <v>45925</v>
      </c>
      <c r="Q74" s="16">
        <f t="shared" si="37"/>
        <v>4</v>
      </c>
      <c r="R74" s="45">
        <v>45927</v>
      </c>
      <c r="S74" s="45">
        <v>45929</v>
      </c>
      <c r="T74" s="49">
        <f t="shared" si="38"/>
        <v>3</v>
      </c>
      <c r="U74" s="14">
        <v>45931</v>
      </c>
      <c r="V74" s="14">
        <v>45933</v>
      </c>
      <c r="W74" s="49">
        <f t="shared" si="39"/>
        <v>3</v>
      </c>
      <c r="X74" s="14">
        <v>45939</v>
      </c>
      <c r="Y74" s="14">
        <v>45941</v>
      </c>
      <c r="Z74" s="57">
        <f t="shared" si="40"/>
        <v>3</v>
      </c>
      <c r="AA74" s="12"/>
      <c r="AB74" s="12"/>
      <c r="AC74" s="49"/>
      <c r="AD74" s="12"/>
      <c r="AE74" s="12"/>
      <c r="AF74" s="49"/>
      <c r="AG74" s="12"/>
      <c r="AH74" s="12"/>
      <c r="AI74" s="49"/>
      <c r="AL74" s="49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</row>
    <row r="75" spans="1:76" x14ac:dyDescent="0.3">
      <c r="A75" s="12" t="s">
        <v>46</v>
      </c>
      <c r="B75" s="13">
        <v>45849</v>
      </c>
      <c r="C75" s="14">
        <v>45860</v>
      </c>
      <c r="D75" s="23">
        <v>45871</v>
      </c>
      <c r="E75" s="15">
        <f t="shared" si="34"/>
        <v>12</v>
      </c>
      <c r="F75" s="14">
        <v>45874</v>
      </c>
      <c r="G75" s="14">
        <v>45884</v>
      </c>
      <c r="H75" s="15">
        <f t="shared" si="35"/>
        <v>11</v>
      </c>
      <c r="I75" s="14">
        <v>45895</v>
      </c>
      <c r="J75" s="14">
        <v>45905</v>
      </c>
      <c r="K75" s="29">
        <f t="shared" si="36"/>
        <v>11</v>
      </c>
      <c r="L75" s="14">
        <v>45906</v>
      </c>
      <c r="M75" s="14">
        <v>45912</v>
      </c>
      <c r="N75" s="16">
        <f t="shared" si="43"/>
        <v>7</v>
      </c>
      <c r="O75" s="14">
        <v>45917</v>
      </c>
      <c r="P75" s="14">
        <v>45924</v>
      </c>
      <c r="Q75" s="16">
        <f t="shared" si="37"/>
        <v>8</v>
      </c>
      <c r="R75" s="14">
        <v>45930</v>
      </c>
      <c r="S75" s="14">
        <v>45937</v>
      </c>
      <c r="T75" s="49">
        <f t="shared" si="38"/>
        <v>8</v>
      </c>
      <c r="U75" s="14">
        <v>45938</v>
      </c>
      <c r="V75" s="14">
        <v>45944</v>
      </c>
      <c r="W75" s="49">
        <f t="shared" si="39"/>
        <v>7</v>
      </c>
      <c r="X75" s="14"/>
      <c r="Y75" s="14"/>
      <c r="Z75" s="47">
        <f t="shared" si="40"/>
        <v>1</v>
      </c>
      <c r="AA75" s="14"/>
      <c r="AB75" s="14"/>
      <c r="AC75" s="47">
        <f t="shared" si="41"/>
        <v>1</v>
      </c>
      <c r="AD75" s="14"/>
      <c r="AE75" s="14"/>
      <c r="AF75" s="47">
        <f t="shared" si="28"/>
        <v>1</v>
      </c>
      <c r="AG75" s="14"/>
      <c r="AH75" s="14"/>
      <c r="AI75" s="47">
        <f t="shared" si="29"/>
        <v>1</v>
      </c>
      <c r="AJ75" s="14"/>
      <c r="AK75" s="14"/>
      <c r="AL75" s="47">
        <f t="shared" si="30"/>
        <v>1</v>
      </c>
      <c r="AM75" s="14"/>
      <c r="AN75" s="14"/>
      <c r="AO75" s="47"/>
      <c r="AP75" s="14"/>
      <c r="AQ75" s="17"/>
      <c r="AR75" s="47"/>
      <c r="AS75" s="14"/>
      <c r="AT75" s="14"/>
      <c r="AU75" s="47"/>
      <c r="AV75" s="14"/>
      <c r="AW75" s="14"/>
      <c r="AX75" s="47"/>
      <c r="AY75" s="14"/>
      <c r="AZ75" s="14"/>
      <c r="BA75" s="47"/>
      <c r="BB75" s="14"/>
      <c r="BC75" s="14"/>
      <c r="BD75" s="47"/>
      <c r="BE75" s="14"/>
      <c r="BF75" s="14"/>
      <c r="BG75" s="47"/>
      <c r="BH75" s="14"/>
      <c r="BI75" s="14"/>
      <c r="BJ75" s="47"/>
      <c r="BK75" s="14"/>
      <c r="BL75" s="14"/>
      <c r="BM75" s="47"/>
      <c r="BN75" s="14"/>
      <c r="BO75" s="14"/>
      <c r="BP75" s="47"/>
      <c r="BQ75" s="14"/>
      <c r="BR75" s="14"/>
      <c r="BS75" s="47"/>
      <c r="BT75" s="14"/>
      <c r="BU75" s="14"/>
      <c r="BV75" s="47"/>
      <c r="BW75" s="14"/>
      <c r="BX75" s="14"/>
    </row>
    <row r="76" spans="1:76" x14ac:dyDescent="0.3">
      <c r="A76" s="12" t="s">
        <v>47</v>
      </c>
      <c r="B76" s="13">
        <v>45851</v>
      </c>
      <c r="C76" s="14">
        <v>45863</v>
      </c>
      <c r="D76" s="23">
        <v>45872</v>
      </c>
      <c r="E76" s="15">
        <f t="shared" si="34"/>
        <v>10</v>
      </c>
      <c r="F76" s="14">
        <v>45874</v>
      </c>
      <c r="G76" s="14">
        <v>45878</v>
      </c>
      <c r="H76" s="15">
        <f t="shared" si="35"/>
        <v>5</v>
      </c>
      <c r="I76" s="14">
        <v>45892</v>
      </c>
      <c r="J76" s="14">
        <v>45897</v>
      </c>
      <c r="K76" s="29">
        <f t="shared" si="36"/>
        <v>6</v>
      </c>
      <c r="L76" s="14">
        <v>45904</v>
      </c>
      <c r="M76" s="14">
        <v>45912</v>
      </c>
      <c r="N76" s="16">
        <f t="shared" si="43"/>
        <v>9</v>
      </c>
      <c r="O76" s="14">
        <v>45916</v>
      </c>
      <c r="P76" s="14">
        <v>45921</v>
      </c>
      <c r="Q76" s="16">
        <f t="shared" si="37"/>
        <v>6</v>
      </c>
      <c r="R76" s="14">
        <v>45931</v>
      </c>
      <c r="S76" s="14">
        <v>45944</v>
      </c>
      <c r="T76" s="49">
        <f t="shared" si="38"/>
        <v>14</v>
      </c>
      <c r="U76" s="14"/>
      <c r="V76" s="14"/>
      <c r="W76" s="49">
        <f t="shared" si="39"/>
        <v>1</v>
      </c>
      <c r="X76" s="14"/>
      <c r="Y76" s="14"/>
      <c r="Z76" s="47">
        <f t="shared" si="40"/>
        <v>1</v>
      </c>
      <c r="AA76" s="14"/>
      <c r="AB76" s="14"/>
      <c r="AC76" s="47">
        <f t="shared" si="41"/>
        <v>1</v>
      </c>
      <c r="AD76" s="17"/>
      <c r="AE76" s="17"/>
      <c r="AF76" s="47">
        <f t="shared" si="28"/>
        <v>1</v>
      </c>
      <c r="AG76" s="14"/>
      <c r="AH76" s="14"/>
      <c r="AI76" s="47">
        <f t="shared" si="29"/>
        <v>1</v>
      </c>
      <c r="AJ76" s="14"/>
      <c r="AK76" s="14"/>
      <c r="AL76" s="47">
        <f t="shared" si="30"/>
        <v>1</v>
      </c>
      <c r="AM76" s="14"/>
      <c r="AN76" s="14"/>
      <c r="AO76" s="47"/>
      <c r="AP76" s="14"/>
      <c r="AQ76" s="14"/>
      <c r="AR76" s="47"/>
      <c r="AS76" s="14"/>
      <c r="AT76" s="14"/>
      <c r="AU76" s="47"/>
      <c r="AV76" s="14"/>
      <c r="AW76" s="14"/>
      <c r="AX76" s="47"/>
      <c r="AY76" s="14"/>
      <c r="AZ76" s="14"/>
      <c r="BA76" s="47"/>
      <c r="BB76" s="14"/>
      <c r="BC76" s="14"/>
      <c r="BD76" s="47"/>
      <c r="BE76" s="14"/>
      <c r="BF76" s="14"/>
      <c r="BG76" s="47"/>
      <c r="BH76" s="14"/>
      <c r="BI76" s="14"/>
      <c r="BJ76" s="47"/>
      <c r="BK76" s="14"/>
      <c r="BL76" s="14"/>
      <c r="BM76" s="47"/>
      <c r="BN76" s="14"/>
      <c r="BO76" s="14"/>
      <c r="BP76" s="47"/>
      <c r="BQ76" s="14"/>
      <c r="BR76" s="14"/>
      <c r="BS76" s="47"/>
      <c r="BT76" s="14"/>
      <c r="BU76" s="14"/>
      <c r="BV76" s="47"/>
      <c r="BW76" s="14"/>
      <c r="BX76" s="14"/>
    </row>
    <row r="77" spans="1:76" x14ac:dyDescent="0.3">
      <c r="A77" s="12" t="s">
        <v>38</v>
      </c>
      <c r="B77" s="13">
        <v>45848</v>
      </c>
      <c r="C77" s="14">
        <v>45864</v>
      </c>
      <c r="D77" s="23">
        <v>45878</v>
      </c>
      <c r="E77" s="15">
        <f t="shared" si="34"/>
        <v>15</v>
      </c>
      <c r="F77" s="14">
        <v>45881</v>
      </c>
      <c r="G77" s="14">
        <v>45897</v>
      </c>
      <c r="H77" s="15">
        <f t="shared" si="35"/>
        <v>17</v>
      </c>
      <c r="I77" s="14">
        <v>45904</v>
      </c>
      <c r="J77" s="14">
        <v>45910</v>
      </c>
      <c r="K77" s="29">
        <f t="shared" si="36"/>
        <v>7</v>
      </c>
      <c r="L77" s="14">
        <v>45913</v>
      </c>
      <c r="M77" s="14">
        <v>45921</v>
      </c>
      <c r="N77" s="16">
        <f t="shared" si="43"/>
        <v>9</v>
      </c>
      <c r="O77" s="14">
        <v>45922</v>
      </c>
      <c r="P77" s="14">
        <v>45927</v>
      </c>
      <c r="Q77" s="16">
        <f t="shared" si="37"/>
        <v>6</v>
      </c>
      <c r="R77" s="14">
        <v>45931</v>
      </c>
      <c r="S77" s="14">
        <v>45940</v>
      </c>
      <c r="T77" s="47">
        <f t="shared" si="38"/>
        <v>10</v>
      </c>
      <c r="U77" s="14"/>
      <c r="V77" s="14"/>
      <c r="W77" s="49">
        <f t="shared" si="39"/>
        <v>1</v>
      </c>
      <c r="X77" s="14"/>
      <c r="Y77" s="14"/>
      <c r="Z77" s="47">
        <f t="shared" si="40"/>
        <v>1</v>
      </c>
      <c r="AA77" s="14"/>
      <c r="AB77" s="14"/>
      <c r="AC77" s="47">
        <f t="shared" si="41"/>
        <v>1</v>
      </c>
      <c r="AD77" s="14"/>
      <c r="AE77" s="14"/>
      <c r="AF77" s="47">
        <f t="shared" si="28"/>
        <v>1</v>
      </c>
      <c r="AG77" s="14"/>
      <c r="AH77" s="14"/>
      <c r="AI77" s="47">
        <f t="shared" si="29"/>
        <v>1</v>
      </c>
      <c r="AJ77" s="17"/>
      <c r="AK77" s="17"/>
      <c r="AL77" s="47">
        <f t="shared" si="30"/>
        <v>1</v>
      </c>
      <c r="AM77" s="14"/>
      <c r="AN77" s="14"/>
      <c r="AO77" s="47"/>
      <c r="AP77" s="14"/>
      <c r="AQ77" s="14"/>
      <c r="AR77" s="47"/>
      <c r="AS77" s="14"/>
      <c r="AT77" s="14"/>
      <c r="AU77" s="47"/>
      <c r="AV77" s="14"/>
      <c r="AW77" s="14"/>
      <c r="AX77" s="47"/>
      <c r="AY77" s="14"/>
      <c r="AZ77" s="14"/>
      <c r="BA77" s="47"/>
      <c r="BB77" s="14"/>
      <c r="BC77" s="14"/>
      <c r="BD77" s="47"/>
      <c r="BE77" s="14"/>
      <c r="BF77" s="14"/>
      <c r="BG77" s="47"/>
      <c r="BH77" s="14"/>
      <c r="BI77" s="14"/>
      <c r="BJ77" s="47"/>
      <c r="BK77" s="14"/>
      <c r="BL77" s="14"/>
      <c r="BM77" s="47"/>
      <c r="BN77" s="14"/>
      <c r="BO77" s="14"/>
      <c r="BP77" s="47"/>
      <c r="BQ77" s="14"/>
      <c r="BR77" s="14"/>
      <c r="BS77" s="47"/>
      <c r="BT77" s="14"/>
      <c r="BU77" s="14"/>
      <c r="BV77" s="47"/>
      <c r="BW77" s="14"/>
      <c r="BX77" s="14"/>
    </row>
    <row r="78" spans="1:76" x14ac:dyDescent="0.3">
      <c r="A78" s="12" t="s">
        <v>40</v>
      </c>
      <c r="B78" s="13">
        <v>45865</v>
      </c>
      <c r="C78" s="14">
        <v>45870</v>
      </c>
      <c r="D78" s="23">
        <v>45877</v>
      </c>
      <c r="E78" s="15">
        <f t="shared" si="34"/>
        <v>8</v>
      </c>
      <c r="F78" s="14">
        <v>45894</v>
      </c>
      <c r="G78" s="14">
        <v>45899</v>
      </c>
      <c r="H78" s="15">
        <f t="shared" si="35"/>
        <v>6</v>
      </c>
      <c r="I78" s="14">
        <v>45902</v>
      </c>
      <c r="J78" s="14">
        <v>45910</v>
      </c>
      <c r="K78" s="15">
        <f t="shared" si="36"/>
        <v>9</v>
      </c>
      <c r="L78" s="14">
        <v>45917</v>
      </c>
      <c r="M78" s="14">
        <v>45921</v>
      </c>
      <c r="N78" s="16">
        <f t="shared" si="43"/>
        <v>5</v>
      </c>
      <c r="O78" s="14">
        <v>45936</v>
      </c>
      <c r="P78" s="14">
        <v>45940</v>
      </c>
      <c r="Q78" s="16">
        <f t="shared" si="37"/>
        <v>5</v>
      </c>
      <c r="R78" s="14">
        <v>45947</v>
      </c>
      <c r="S78" s="14"/>
      <c r="T78" s="47">
        <f t="shared" si="38"/>
        <v>-45946</v>
      </c>
      <c r="U78" s="14"/>
      <c r="V78" s="14"/>
      <c r="W78" s="47">
        <f t="shared" si="39"/>
        <v>1</v>
      </c>
      <c r="X78" s="14"/>
      <c r="Y78" s="14"/>
      <c r="Z78" s="47">
        <f t="shared" si="40"/>
        <v>1</v>
      </c>
      <c r="AA78" s="14"/>
      <c r="AB78" s="14"/>
      <c r="AC78" s="47">
        <f t="shared" si="41"/>
        <v>1</v>
      </c>
      <c r="AD78" s="17"/>
      <c r="AE78" s="17"/>
      <c r="AF78" s="47">
        <f t="shared" si="28"/>
        <v>1</v>
      </c>
      <c r="AG78" s="14"/>
      <c r="AH78" s="14"/>
      <c r="AI78" s="47">
        <f t="shared" si="29"/>
        <v>1</v>
      </c>
      <c r="AJ78" s="14"/>
      <c r="AK78" s="14"/>
      <c r="AL78" s="47">
        <f t="shared" si="30"/>
        <v>1</v>
      </c>
      <c r="AM78" s="14"/>
      <c r="AN78" s="14"/>
      <c r="AO78" s="47"/>
      <c r="AP78" s="14"/>
      <c r="AQ78" s="14"/>
      <c r="AR78" s="47"/>
      <c r="AS78" s="14"/>
      <c r="AT78" s="14"/>
      <c r="AU78" s="47"/>
      <c r="AV78" s="14"/>
      <c r="AW78" s="14"/>
      <c r="AX78" s="47"/>
      <c r="AY78" s="14"/>
      <c r="AZ78" s="14"/>
      <c r="BA78" s="47"/>
      <c r="BB78" s="14"/>
      <c r="BC78" s="14"/>
      <c r="BD78" s="47"/>
      <c r="BE78" s="14"/>
      <c r="BF78" s="14"/>
      <c r="BG78" s="47"/>
      <c r="BH78" s="14"/>
      <c r="BI78" s="14"/>
      <c r="BJ78" s="47"/>
      <c r="BK78" s="14"/>
      <c r="BL78" s="14"/>
      <c r="BM78" s="47"/>
      <c r="BN78" s="14"/>
      <c r="BO78" s="14"/>
      <c r="BP78" s="47"/>
      <c r="BQ78" s="14"/>
      <c r="BR78" s="14"/>
      <c r="BS78" s="47"/>
      <c r="BT78" s="14"/>
      <c r="BU78" s="14"/>
      <c r="BV78" s="47"/>
      <c r="BW78" s="14"/>
      <c r="BX78" s="14"/>
    </row>
    <row r="79" spans="1:76" x14ac:dyDescent="0.3">
      <c r="A79" s="18" t="s">
        <v>41</v>
      </c>
      <c r="B79" s="19">
        <v>45880</v>
      </c>
      <c r="C79" s="14">
        <v>45884</v>
      </c>
      <c r="D79" s="23">
        <v>45888</v>
      </c>
      <c r="E79" s="15">
        <f t="shared" si="34"/>
        <v>5</v>
      </c>
      <c r="F79" s="14">
        <v>45892</v>
      </c>
      <c r="G79" s="14">
        <v>45894</v>
      </c>
      <c r="H79" s="15">
        <f t="shared" si="35"/>
        <v>3</v>
      </c>
      <c r="I79" s="14">
        <v>45908</v>
      </c>
      <c r="J79" s="14">
        <v>45911</v>
      </c>
      <c r="K79" s="15">
        <f t="shared" si="36"/>
        <v>4</v>
      </c>
      <c r="L79" s="14">
        <v>45919</v>
      </c>
      <c r="M79" s="14">
        <v>45922</v>
      </c>
      <c r="N79" s="16">
        <f t="shared" si="43"/>
        <v>4</v>
      </c>
      <c r="O79" s="14">
        <v>45929</v>
      </c>
      <c r="P79" s="14">
        <v>45931</v>
      </c>
      <c r="Q79" s="16">
        <f t="shared" si="37"/>
        <v>3</v>
      </c>
      <c r="R79" s="14">
        <v>45937</v>
      </c>
      <c r="S79" s="14">
        <v>45939</v>
      </c>
      <c r="T79" s="47">
        <f t="shared" si="38"/>
        <v>3</v>
      </c>
      <c r="U79" s="14"/>
      <c r="V79" s="14"/>
      <c r="W79" s="47">
        <f t="shared" si="39"/>
        <v>1</v>
      </c>
      <c r="X79" s="14"/>
      <c r="Y79" s="14"/>
      <c r="Z79" s="47">
        <f t="shared" si="40"/>
        <v>1</v>
      </c>
      <c r="AA79" s="14"/>
      <c r="AB79" s="14"/>
      <c r="AC79" s="47">
        <f t="shared" si="41"/>
        <v>1</v>
      </c>
      <c r="AD79" s="14"/>
      <c r="AE79" s="14"/>
      <c r="AF79" s="47">
        <f t="shared" si="28"/>
        <v>1</v>
      </c>
      <c r="AG79" s="14"/>
      <c r="AH79" s="14"/>
      <c r="AI79" s="47">
        <f t="shared" si="29"/>
        <v>1</v>
      </c>
      <c r="AJ79" s="14"/>
      <c r="AK79" s="17"/>
      <c r="AL79" s="47">
        <f t="shared" si="30"/>
        <v>1</v>
      </c>
      <c r="AM79" s="14"/>
      <c r="AN79" s="14"/>
      <c r="AO79" s="47"/>
      <c r="AP79" s="14"/>
      <c r="AQ79" s="14"/>
      <c r="AR79" s="47"/>
      <c r="AS79" s="14"/>
      <c r="AT79" s="14"/>
      <c r="AU79" s="47"/>
      <c r="AV79" s="14"/>
      <c r="AW79" s="14"/>
      <c r="AX79" s="47"/>
      <c r="AY79" s="14"/>
      <c r="AZ79" s="14"/>
      <c r="BA79" s="47"/>
      <c r="BB79" s="14"/>
      <c r="BC79" s="14"/>
      <c r="BD79" s="47"/>
      <c r="BE79" s="14"/>
      <c r="BF79" s="14"/>
      <c r="BG79" s="47"/>
      <c r="BH79" s="14"/>
      <c r="BI79" s="14"/>
      <c r="BJ79" s="47"/>
      <c r="BK79" s="14"/>
      <c r="BL79" s="14"/>
      <c r="BM79" s="47"/>
      <c r="BN79" s="14"/>
      <c r="BO79" s="14"/>
      <c r="BP79" s="47"/>
      <c r="BQ79" s="14"/>
      <c r="BR79" s="14"/>
      <c r="BS79" s="47"/>
      <c r="BT79" s="14"/>
      <c r="BU79" s="14"/>
      <c r="BV79" s="47"/>
      <c r="BW79" s="14"/>
      <c r="BX79" s="14"/>
    </row>
    <row r="80" spans="1:76" x14ac:dyDescent="0.3">
      <c r="A80" s="22" t="s">
        <v>42</v>
      </c>
      <c r="B80" s="13">
        <v>45889</v>
      </c>
      <c r="C80" s="14">
        <v>45896</v>
      </c>
      <c r="D80" s="23">
        <v>45903</v>
      </c>
      <c r="E80" s="15">
        <f t="shared" si="34"/>
        <v>8</v>
      </c>
      <c r="F80" s="14">
        <v>45904</v>
      </c>
      <c r="G80" s="14">
        <v>45910</v>
      </c>
      <c r="H80" s="15">
        <f t="shared" si="35"/>
        <v>7</v>
      </c>
      <c r="I80" s="14">
        <v>45918</v>
      </c>
      <c r="J80" s="14">
        <v>45921</v>
      </c>
      <c r="K80" s="15">
        <f t="shared" si="36"/>
        <v>4</v>
      </c>
      <c r="L80" s="14">
        <v>45928</v>
      </c>
      <c r="M80" s="14">
        <v>45931</v>
      </c>
      <c r="N80" s="16">
        <f t="shared" si="43"/>
        <v>4</v>
      </c>
      <c r="O80" s="14">
        <v>45938</v>
      </c>
      <c r="P80" s="14">
        <v>45940</v>
      </c>
      <c r="Q80" s="16">
        <f t="shared" si="37"/>
        <v>3</v>
      </c>
      <c r="R80" s="14"/>
      <c r="S80" s="14"/>
      <c r="T80" s="47">
        <f t="shared" si="38"/>
        <v>1</v>
      </c>
      <c r="U80" s="14"/>
      <c r="V80" s="14"/>
      <c r="W80" s="47">
        <f t="shared" si="39"/>
        <v>1</v>
      </c>
      <c r="X80" s="14"/>
      <c r="Y80" s="14"/>
      <c r="Z80" s="47">
        <f t="shared" si="40"/>
        <v>1</v>
      </c>
      <c r="AA80" s="14"/>
      <c r="AB80" s="14"/>
      <c r="AC80" s="47">
        <f t="shared" si="41"/>
        <v>1</v>
      </c>
      <c r="AD80" s="14"/>
      <c r="AE80" s="14"/>
      <c r="AF80" s="47">
        <f t="shared" si="28"/>
        <v>1</v>
      </c>
      <c r="AG80" s="14"/>
      <c r="AH80" s="17"/>
      <c r="AI80" s="47">
        <f t="shared" si="29"/>
        <v>1</v>
      </c>
      <c r="AJ80" s="14"/>
      <c r="AK80" s="14"/>
      <c r="AL80" s="47">
        <f t="shared" si="30"/>
        <v>1</v>
      </c>
      <c r="AM80" s="14"/>
      <c r="AN80" s="14"/>
      <c r="AO80" s="47"/>
      <c r="AP80" s="14"/>
      <c r="AQ80" s="14"/>
      <c r="AR80" s="47"/>
      <c r="AS80" s="14"/>
      <c r="AT80" s="14"/>
      <c r="AU80" s="47"/>
      <c r="AV80" s="14"/>
      <c r="AW80" s="14"/>
      <c r="AX80" s="47"/>
      <c r="AY80" s="14"/>
      <c r="AZ80" s="14"/>
      <c r="BA80" s="47"/>
      <c r="BB80" s="14"/>
      <c r="BC80" s="14"/>
      <c r="BD80" s="47"/>
      <c r="BE80" s="14"/>
      <c r="BF80" s="14"/>
      <c r="BG80" s="47"/>
      <c r="BH80" s="14"/>
      <c r="BI80" s="14"/>
      <c r="BJ80" s="47"/>
      <c r="BK80" s="14"/>
      <c r="BL80" s="14"/>
      <c r="BM80" s="47"/>
      <c r="BN80" s="14"/>
      <c r="BO80" s="14"/>
      <c r="BP80" s="47"/>
      <c r="BQ80" s="14"/>
      <c r="BR80" s="14"/>
      <c r="BS80" s="47"/>
      <c r="BT80" s="14"/>
      <c r="BU80" s="14"/>
      <c r="BV80" s="47"/>
      <c r="BW80" s="14"/>
      <c r="BX80" s="14"/>
    </row>
    <row r="81" spans="1:76" x14ac:dyDescent="0.3">
      <c r="A81" s="5" t="s">
        <v>43</v>
      </c>
      <c r="B81" s="13">
        <v>45903</v>
      </c>
      <c r="C81" s="23">
        <v>45909</v>
      </c>
      <c r="D81" s="14">
        <v>45919</v>
      </c>
      <c r="E81" s="15">
        <f t="shared" si="34"/>
        <v>11</v>
      </c>
      <c r="F81" s="14">
        <v>45923</v>
      </c>
      <c r="G81" s="14">
        <v>45930</v>
      </c>
      <c r="H81" s="15">
        <f t="shared" si="35"/>
        <v>8</v>
      </c>
      <c r="I81" s="14">
        <v>45933</v>
      </c>
      <c r="J81" s="14">
        <v>45943</v>
      </c>
      <c r="K81" s="15">
        <f t="shared" si="36"/>
        <v>11</v>
      </c>
      <c r="L81" s="14"/>
      <c r="M81" s="14"/>
      <c r="N81" s="16">
        <f t="shared" si="43"/>
        <v>1</v>
      </c>
      <c r="O81" s="14"/>
      <c r="P81" s="14"/>
      <c r="Q81" s="16">
        <f t="shared" si="37"/>
        <v>1</v>
      </c>
      <c r="R81" s="14"/>
      <c r="S81" s="14"/>
      <c r="T81" s="47">
        <f t="shared" si="38"/>
        <v>1</v>
      </c>
      <c r="U81" s="14"/>
      <c r="V81" s="14"/>
      <c r="W81" s="47">
        <f t="shared" si="39"/>
        <v>1</v>
      </c>
      <c r="X81" s="14"/>
      <c r="Y81" s="14"/>
      <c r="Z81" s="47">
        <f t="shared" si="40"/>
        <v>1</v>
      </c>
      <c r="AA81" s="14"/>
      <c r="AB81" s="14"/>
      <c r="AC81" s="47">
        <f t="shared" si="41"/>
        <v>1</v>
      </c>
      <c r="AD81" s="14"/>
      <c r="AE81" s="17"/>
      <c r="AF81" s="47">
        <f t="shared" si="28"/>
        <v>1</v>
      </c>
      <c r="AG81" s="14"/>
      <c r="AH81" s="14"/>
      <c r="AI81" s="47">
        <f t="shared" si="29"/>
        <v>1</v>
      </c>
      <c r="AJ81" s="14"/>
      <c r="AK81" s="14"/>
      <c r="AL81" s="47">
        <f t="shared" si="30"/>
        <v>1</v>
      </c>
      <c r="AM81" s="14"/>
      <c r="AN81" s="14"/>
      <c r="AO81" s="47"/>
      <c r="AP81" s="14"/>
      <c r="AQ81" s="14"/>
      <c r="AR81" s="47"/>
      <c r="AS81" s="14"/>
      <c r="AT81" s="14"/>
      <c r="AU81" s="47"/>
      <c r="AV81" s="14"/>
      <c r="AW81" s="14"/>
      <c r="AX81" s="47"/>
      <c r="AY81" s="14"/>
      <c r="AZ81" s="14"/>
      <c r="BA81" s="47"/>
      <c r="BB81" s="14"/>
      <c r="BC81" s="14"/>
      <c r="BD81" s="47"/>
      <c r="BE81" s="14"/>
      <c r="BF81" s="14"/>
      <c r="BG81" s="47"/>
      <c r="BH81" s="14"/>
      <c r="BI81" s="14"/>
      <c r="BJ81" s="47"/>
      <c r="BK81" s="14"/>
      <c r="BL81" s="14"/>
      <c r="BM81" s="47"/>
      <c r="BN81" s="14"/>
      <c r="BO81" s="14"/>
      <c r="BP81" s="47"/>
      <c r="BQ81" s="14"/>
      <c r="BR81" s="14"/>
      <c r="BS81" s="47"/>
      <c r="BT81" s="14"/>
      <c r="BU81" s="14"/>
      <c r="BV81" s="47"/>
      <c r="BW81" s="14"/>
      <c r="BX81" s="14"/>
    </row>
    <row r="82" spans="1:76" x14ac:dyDescent="0.3">
      <c r="A82" s="12" t="s">
        <v>45</v>
      </c>
      <c r="B82" s="13">
        <v>45911</v>
      </c>
      <c r="C82" s="14">
        <v>45918</v>
      </c>
      <c r="D82" s="14">
        <v>45927</v>
      </c>
      <c r="E82" s="15">
        <f t="shared" si="34"/>
        <v>10</v>
      </c>
      <c r="F82" s="14">
        <v>45932</v>
      </c>
      <c r="G82" s="14">
        <v>45939</v>
      </c>
      <c r="H82" s="15">
        <f t="shared" si="35"/>
        <v>8</v>
      </c>
      <c r="I82" s="14"/>
      <c r="J82" s="14"/>
      <c r="K82" s="15">
        <f t="shared" si="36"/>
        <v>1</v>
      </c>
      <c r="L82" s="14"/>
      <c r="M82" s="14"/>
      <c r="N82" s="16">
        <f t="shared" si="43"/>
        <v>1</v>
      </c>
      <c r="O82" s="14"/>
      <c r="P82" s="14"/>
      <c r="Q82" s="16">
        <f t="shared" si="37"/>
        <v>1</v>
      </c>
      <c r="R82" s="14"/>
      <c r="S82" s="14"/>
      <c r="T82" s="47">
        <f t="shared" si="38"/>
        <v>1</v>
      </c>
      <c r="U82" s="14"/>
      <c r="V82" s="14"/>
      <c r="W82" s="47">
        <f t="shared" si="39"/>
        <v>1</v>
      </c>
      <c r="X82" s="14"/>
      <c r="Y82" s="17"/>
      <c r="Z82" s="47">
        <f t="shared" si="40"/>
        <v>1</v>
      </c>
      <c r="AA82" s="14"/>
      <c r="AB82" s="14"/>
      <c r="AC82" s="47">
        <f t="shared" si="41"/>
        <v>1</v>
      </c>
      <c r="AD82" s="14"/>
      <c r="AE82" s="14"/>
      <c r="AF82" s="47">
        <f t="shared" si="28"/>
        <v>1</v>
      </c>
      <c r="AG82" s="14"/>
      <c r="AH82" s="14"/>
      <c r="AI82" s="47">
        <f t="shared" si="29"/>
        <v>1</v>
      </c>
      <c r="AJ82" s="14"/>
      <c r="AK82" s="14"/>
      <c r="AL82" s="47">
        <f t="shared" si="30"/>
        <v>1</v>
      </c>
      <c r="AM82" s="14"/>
      <c r="AN82" s="14"/>
      <c r="AO82" s="47"/>
      <c r="AP82" s="14"/>
      <c r="AQ82" s="14"/>
      <c r="AR82" s="47"/>
      <c r="AS82" s="14"/>
      <c r="AT82" s="14"/>
      <c r="AU82" s="47"/>
      <c r="AV82" s="14"/>
      <c r="AW82" s="14"/>
      <c r="AX82" s="47"/>
      <c r="AY82" s="14"/>
      <c r="AZ82" s="14"/>
      <c r="BA82" s="47"/>
      <c r="BB82" s="14"/>
      <c r="BC82" s="14"/>
      <c r="BD82" s="47"/>
      <c r="BE82" s="14"/>
      <c r="BF82" s="14"/>
      <c r="BG82" s="47"/>
      <c r="BH82" s="14"/>
      <c r="BI82" s="14"/>
      <c r="BJ82" s="47"/>
      <c r="BK82" s="14"/>
      <c r="BL82" s="14"/>
      <c r="BM82" s="47"/>
      <c r="BN82" s="14"/>
      <c r="BO82" s="14"/>
      <c r="BP82" s="47"/>
      <c r="BQ82" s="14"/>
      <c r="BR82" s="14"/>
      <c r="BS82" s="47"/>
      <c r="BT82" s="14"/>
      <c r="BU82" s="14"/>
      <c r="BV82" s="47"/>
      <c r="BW82" s="14"/>
      <c r="BX82" s="14"/>
    </row>
    <row r="83" spans="1:76" x14ac:dyDescent="0.3">
      <c r="A83" s="12" t="s">
        <v>15</v>
      </c>
      <c r="B83" s="13">
        <v>45919</v>
      </c>
      <c r="C83" s="14">
        <v>45919</v>
      </c>
      <c r="D83" s="14">
        <v>45932</v>
      </c>
      <c r="E83" s="15">
        <f t="shared" si="34"/>
        <v>14</v>
      </c>
      <c r="F83" s="14">
        <v>45940</v>
      </c>
      <c r="G83" s="14"/>
      <c r="H83" s="15">
        <f t="shared" si="35"/>
        <v>-45939</v>
      </c>
      <c r="I83" s="14"/>
      <c r="J83" s="14"/>
      <c r="K83" s="15">
        <f t="shared" si="36"/>
        <v>1</v>
      </c>
      <c r="L83" s="14"/>
      <c r="M83" s="14"/>
      <c r="N83" s="16">
        <f t="shared" si="43"/>
        <v>1</v>
      </c>
      <c r="O83" s="14"/>
      <c r="P83" s="14"/>
      <c r="Q83" s="16">
        <f t="shared" si="37"/>
        <v>1</v>
      </c>
      <c r="R83" s="14"/>
      <c r="S83" s="14"/>
      <c r="T83" s="57">
        <f t="shared" si="38"/>
        <v>1</v>
      </c>
      <c r="U83" s="14"/>
      <c r="V83" s="14"/>
      <c r="W83" s="57">
        <f t="shared" si="39"/>
        <v>1</v>
      </c>
      <c r="X83" s="14"/>
      <c r="Y83" s="17"/>
      <c r="Z83" s="53"/>
      <c r="AA83" s="14"/>
      <c r="AB83" s="14"/>
      <c r="AC83" s="53"/>
      <c r="AD83" s="14"/>
      <c r="AE83" s="14"/>
      <c r="AF83" s="53"/>
      <c r="AG83" s="14"/>
      <c r="AH83" s="14"/>
      <c r="AI83" s="53"/>
      <c r="AJ83" s="14"/>
      <c r="AK83" s="14"/>
      <c r="AL83" s="53"/>
      <c r="AM83" s="14"/>
      <c r="AN83" s="14"/>
      <c r="AO83" s="53"/>
      <c r="AP83" s="14"/>
      <c r="AQ83" s="14"/>
      <c r="AR83" s="53"/>
      <c r="AS83" s="14"/>
      <c r="AT83" s="14"/>
      <c r="AU83" s="53"/>
      <c r="AV83" s="14"/>
      <c r="AW83" s="14"/>
      <c r="AX83" s="53"/>
      <c r="AY83" s="14"/>
      <c r="AZ83" s="14"/>
      <c r="BA83" s="53"/>
      <c r="BB83" s="14"/>
      <c r="BC83" s="14"/>
      <c r="BD83" s="53"/>
      <c r="BE83" s="14"/>
      <c r="BF83" s="14"/>
      <c r="BG83" s="53"/>
      <c r="BH83" s="14"/>
      <c r="BI83" s="14"/>
      <c r="BJ83" s="53"/>
      <c r="BK83" s="14"/>
      <c r="BL83" s="14"/>
      <c r="BM83" s="53"/>
      <c r="BN83" s="14"/>
      <c r="BO83" s="14"/>
      <c r="BP83" s="53"/>
      <c r="BQ83" s="14"/>
      <c r="BR83" s="14"/>
      <c r="BS83" s="53"/>
      <c r="BT83" s="14"/>
      <c r="BU83" s="14"/>
      <c r="BV83" s="53"/>
      <c r="BW83" s="14"/>
      <c r="BX83" s="14"/>
    </row>
    <row r="84" spans="1:76" x14ac:dyDescent="0.3">
      <c r="A84" s="12" t="s">
        <v>48</v>
      </c>
      <c r="B84" s="13">
        <v>45920</v>
      </c>
      <c r="C84" s="14">
        <v>45927</v>
      </c>
      <c r="D84" s="14">
        <v>45938</v>
      </c>
      <c r="E84" s="15">
        <f t="shared" si="34"/>
        <v>12</v>
      </c>
      <c r="F84" s="14">
        <v>45939</v>
      </c>
      <c r="G84" s="14"/>
      <c r="H84" s="15">
        <f t="shared" si="35"/>
        <v>-45938</v>
      </c>
      <c r="I84" s="14"/>
      <c r="J84" s="14"/>
      <c r="K84" s="15">
        <f t="shared" si="36"/>
        <v>1</v>
      </c>
      <c r="L84" s="14"/>
      <c r="M84" s="14"/>
      <c r="N84" s="16">
        <f t="shared" si="43"/>
        <v>1</v>
      </c>
      <c r="O84" s="14"/>
      <c r="P84" s="14"/>
      <c r="Q84" s="16">
        <f t="shared" si="37"/>
        <v>1</v>
      </c>
      <c r="R84" s="14"/>
      <c r="S84" s="14"/>
      <c r="T84" s="57">
        <f t="shared" si="38"/>
        <v>1</v>
      </c>
      <c r="U84" s="17"/>
      <c r="V84" s="17"/>
      <c r="W84" s="48">
        <f t="shared" si="39"/>
        <v>1</v>
      </c>
      <c r="X84" s="14"/>
      <c r="Y84" s="14"/>
      <c r="Z84" s="48">
        <f t="shared" si="40"/>
        <v>1</v>
      </c>
      <c r="AA84" s="14"/>
      <c r="AB84" s="14"/>
      <c r="AC84" s="48">
        <f t="shared" si="41"/>
        <v>1</v>
      </c>
      <c r="AD84" s="14"/>
      <c r="AE84" s="14"/>
      <c r="AF84" s="48">
        <f t="shared" si="28"/>
        <v>1</v>
      </c>
      <c r="AG84" s="14"/>
      <c r="AH84" s="14"/>
      <c r="AI84" s="48">
        <f t="shared" si="29"/>
        <v>1</v>
      </c>
      <c r="AJ84" s="14"/>
      <c r="AK84" s="14"/>
      <c r="AL84" s="48">
        <f t="shared" si="30"/>
        <v>1</v>
      </c>
      <c r="AM84" s="14"/>
      <c r="AN84" s="14"/>
      <c r="AO84" s="48"/>
      <c r="AP84" s="14"/>
      <c r="AQ84" s="14"/>
      <c r="AR84" s="48"/>
      <c r="AS84" s="14"/>
      <c r="AT84" s="14"/>
      <c r="AU84" s="48"/>
      <c r="AV84" s="14"/>
      <c r="AW84" s="14"/>
      <c r="AX84" s="48"/>
      <c r="AY84" s="14"/>
      <c r="AZ84" s="14"/>
      <c r="BA84" s="48"/>
      <c r="BB84" s="14"/>
      <c r="BC84" s="14"/>
      <c r="BD84" s="48"/>
      <c r="BE84" s="14"/>
      <c r="BF84" s="14"/>
      <c r="BG84" s="48"/>
      <c r="BH84" s="14"/>
      <c r="BI84" s="14"/>
      <c r="BJ84" s="48"/>
      <c r="BK84" s="14"/>
      <c r="BL84" s="14"/>
      <c r="BM84" s="48"/>
      <c r="BN84" s="14"/>
      <c r="BO84" s="14"/>
      <c r="BP84" s="48"/>
      <c r="BQ84" s="14"/>
      <c r="BR84" s="14"/>
      <c r="BS84" s="48"/>
      <c r="BT84" s="14"/>
      <c r="BU84" s="14"/>
      <c r="BV84" s="48"/>
      <c r="BW84" s="14"/>
      <c r="BX84" s="14"/>
    </row>
    <row r="85" spans="1:76" x14ac:dyDescent="0.3">
      <c r="A85" s="12" t="s">
        <v>44</v>
      </c>
      <c r="B85" s="54">
        <v>45928</v>
      </c>
      <c r="C85" s="14">
        <v>45933</v>
      </c>
      <c r="D85" s="14">
        <v>45941</v>
      </c>
      <c r="E85" s="29">
        <f t="shared" si="34"/>
        <v>9</v>
      </c>
      <c r="F85" s="14">
        <v>45947</v>
      </c>
      <c r="G85" s="12"/>
      <c r="H85" s="12">
        <f t="shared" si="35"/>
        <v>-45946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48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</row>
    <row r="86" spans="1:76" x14ac:dyDescent="0.3">
      <c r="A86" s="12" t="s">
        <v>19</v>
      </c>
      <c r="B86" s="54">
        <v>45934</v>
      </c>
      <c r="C86" s="14">
        <v>45939</v>
      </c>
      <c r="D86" s="14">
        <v>45942</v>
      </c>
      <c r="E86" s="29">
        <f t="shared" si="34"/>
        <v>4</v>
      </c>
      <c r="F86" s="14">
        <v>45946</v>
      </c>
      <c r="G86" s="12"/>
      <c r="H86" s="12">
        <f t="shared" si="35"/>
        <v>-45945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</row>
    <row r="87" spans="1:76" x14ac:dyDescent="0.3">
      <c r="A87" s="12" t="s">
        <v>51</v>
      </c>
      <c r="B87" s="12"/>
      <c r="C87" s="14"/>
      <c r="D87" s="14"/>
      <c r="E87" s="29"/>
      <c r="F87" s="14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</row>
    <row r="88" spans="1:76" x14ac:dyDescent="0.3">
      <c r="A88" s="12" t="s">
        <v>63</v>
      </c>
      <c r="B88" s="12"/>
      <c r="C88" s="14"/>
      <c r="D88" s="14"/>
      <c r="E88" s="29"/>
      <c r="F88" s="14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</row>
    <row r="89" spans="1:76" x14ac:dyDescent="0.3">
      <c r="A89" s="12" t="s">
        <v>49</v>
      </c>
      <c r="B89" s="12"/>
      <c r="C89" s="14"/>
      <c r="D89" s="12"/>
      <c r="E89" s="29"/>
      <c r="F89" s="14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</row>
    <row r="90" spans="1:76" x14ac:dyDescent="0.3">
      <c r="A90" s="28"/>
      <c r="B90" s="28"/>
      <c r="C90" s="51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</row>
    <row r="91" spans="1:76" x14ac:dyDescent="0.3">
      <c r="A91" s="28"/>
      <c r="B91" s="28"/>
      <c r="C91" s="51"/>
      <c r="D91" s="28"/>
      <c r="E91" s="28"/>
      <c r="F91" s="28"/>
      <c r="G91" s="28"/>
      <c r="H91" s="51"/>
      <c r="I91" s="51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</row>
    <row r="92" spans="1:76" x14ac:dyDescent="0.3">
      <c r="A92" s="28"/>
      <c r="B92" s="28"/>
      <c r="C92" s="51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</row>
    <row r="94" spans="1:76" x14ac:dyDescent="0.3">
      <c r="A94" s="3" t="s">
        <v>86</v>
      </c>
    </row>
    <row r="95" spans="1:76" x14ac:dyDescent="0.3">
      <c r="A95" s="24" t="s">
        <v>5</v>
      </c>
      <c r="B95" s="24" t="s">
        <v>35</v>
      </c>
      <c r="C95" s="24" t="s">
        <v>34</v>
      </c>
      <c r="D95" s="24" t="s">
        <v>36</v>
      </c>
      <c r="R95" s="41" t="s">
        <v>68</v>
      </c>
    </row>
    <row r="96" spans="1:76" x14ac:dyDescent="0.3">
      <c r="A96" s="25" t="s">
        <v>1</v>
      </c>
      <c r="B96" s="26">
        <v>44187</v>
      </c>
      <c r="C96" s="26">
        <v>43954</v>
      </c>
      <c r="D96" s="27">
        <f t="shared" ref="D96:D101" si="44">(B96-C96)/30</f>
        <v>7.7666666666666666</v>
      </c>
      <c r="R96" s="7" t="s">
        <v>69</v>
      </c>
    </row>
    <row r="97" spans="1:21" x14ac:dyDescent="0.3">
      <c r="A97" s="25" t="s">
        <v>2</v>
      </c>
      <c r="B97" s="26">
        <v>44550</v>
      </c>
      <c r="C97" s="26">
        <v>44325</v>
      </c>
      <c r="D97" s="27">
        <f t="shared" si="44"/>
        <v>7.5</v>
      </c>
    </row>
    <row r="98" spans="1:21" x14ac:dyDescent="0.3">
      <c r="A98" s="25" t="s">
        <v>3</v>
      </c>
      <c r="B98" s="26">
        <v>44905</v>
      </c>
      <c r="C98" s="26">
        <v>44705</v>
      </c>
      <c r="D98" s="27">
        <f t="shared" si="44"/>
        <v>6.666666666666667</v>
      </c>
    </row>
    <row r="99" spans="1:21" x14ac:dyDescent="0.3">
      <c r="A99" s="25" t="s">
        <v>4</v>
      </c>
      <c r="B99" s="26">
        <v>45263</v>
      </c>
      <c r="C99" s="26">
        <v>45079</v>
      </c>
      <c r="D99" s="27">
        <f t="shared" si="44"/>
        <v>6.1333333333333337</v>
      </c>
    </row>
    <row r="100" spans="1:21" x14ac:dyDescent="0.3">
      <c r="A100" s="25" t="s">
        <v>6</v>
      </c>
      <c r="B100" s="26">
        <v>45628</v>
      </c>
      <c r="C100" s="26">
        <v>45465</v>
      </c>
      <c r="D100" s="27">
        <f t="shared" si="44"/>
        <v>5.4333333333333336</v>
      </c>
      <c r="R100" s="41" t="s">
        <v>70</v>
      </c>
    </row>
    <row r="101" spans="1:21" x14ac:dyDescent="0.3">
      <c r="A101" s="25" t="s">
        <v>8</v>
      </c>
      <c r="B101" s="26">
        <v>45993</v>
      </c>
      <c r="C101" s="26">
        <v>45820</v>
      </c>
      <c r="D101" s="27">
        <f t="shared" si="44"/>
        <v>5.7666666666666666</v>
      </c>
    </row>
    <row r="102" spans="1:21" x14ac:dyDescent="0.3">
      <c r="Q102" s="41">
        <v>1</v>
      </c>
      <c r="R102" s="7" t="s">
        <v>71</v>
      </c>
      <c r="S102" s="7" t="s">
        <v>73</v>
      </c>
      <c r="T102" s="42" t="s">
        <v>76</v>
      </c>
    </row>
    <row r="103" spans="1:21" x14ac:dyDescent="0.3">
      <c r="S103" s="7" t="s">
        <v>74</v>
      </c>
      <c r="T103" s="42" t="s">
        <v>75</v>
      </c>
    </row>
    <row r="104" spans="1:21" x14ac:dyDescent="0.3">
      <c r="S104" s="7" t="s">
        <v>72</v>
      </c>
      <c r="T104" s="42" t="s">
        <v>75</v>
      </c>
    </row>
    <row r="105" spans="1:21" x14ac:dyDescent="0.3">
      <c r="S105" s="43" t="s">
        <v>83</v>
      </c>
      <c r="T105" s="42" t="s">
        <v>84</v>
      </c>
    </row>
    <row r="106" spans="1:21" x14ac:dyDescent="0.3">
      <c r="S106" s="7" t="s">
        <v>77</v>
      </c>
      <c r="T106" s="42" t="s">
        <v>78</v>
      </c>
      <c r="U106" s="7" t="s">
        <v>79</v>
      </c>
    </row>
    <row r="108" spans="1:21" x14ac:dyDescent="0.3">
      <c r="Q108" s="41">
        <v>2</v>
      </c>
      <c r="R108" s="7" t="s">
        <v>80</v>
      </c>
      <c r="S108" s="7" t="s">
        <v>73</v>
      </c>
      <c r="T108" s="42" t="s">
        <v>81</v>
      </c>
    </row>
    <row r="109" spans="1:21" x14ac:dyDescent="0.3">
      <c r="S109" s="7" t="s">
        <v>74</v>
      </c>
      <c r="T109" s="42" t="s">
        <v>82</v>
      </c>
    </row>
    <row r="110" spans="1:21" x14ac:dyDescent="0.3">
      <c r="S110" s="7" t="s">
        <v>72</v>
      </c>
      <c r="T110" s="42" t="s">
        <v>75</v>
      </c>
    </row>
    <row r="111" spans="1:21" x14ac:dyDescent="0.3">
      <c r="S111" s="43" t="s">
        <v>83</v>
      </c>
      <c r="T111" s="42" t="s">
        <v>85</v>
      </c>
    </row>
    <row r="112" spans="1:21" x14ac:dyDescent="0.3">
      <c r="S112" s="7" t="s">
        <v>77</v>
      </c>
      <c r="T112" s="42" t="s">
        <v>78</v>
      </c>
      <c r="U112" s="7" t="s">
        <v>79</v>
      </c>
    </row>
    <row r="115" spans="1:4" x14ac:dyDescent="0.3">
      <c r="A115" s="24" t="s">
        <v>5</v>
      </c>
      <c r="B115" s="24" t="s">
        <v>66</v>
      </c>
      <c r="C115" s="24" t="s">
        <v>67</v>
      </c>
      <c r="D115" s="24" t="s">
        <v>88</v>
      </c>
    </row>
    <row r="116" spans="1:4" x14ac:dyDescent="0.3">
      <c r="A116" s="25" t="s">
        <v>1</v>
      </c>
      <c r="B116" s="26">
        <v>44298</v>
      </c>
      <c r="C116" s="26">
        <v>44325</v>
      </c>
      <c r="D116" s="40">
        <f>(C116-B116)</f>
        <v>27</v>
      </c>
    </row>
    <row r="117" spans="1:4" x14ac:dyDescent="0.3">
      <c r="A117" s="25" t="s">
        <v>2</v>
      </c>
      <c r="B117" s="26">
        <v>44677</v>
      </c>
      <c r="C117" s="26">
        <v>44705</v>
      </c>
      <c r="D117" s="40">
        <f>(C117-B117)</f>
        <v>28</v>
      </c>
    </row>
    <row r="118" spans="1:4" x14ac:dyDescent="0.3">
      <c r="A118" s="25" t="s">
        <v>3</v>
      </c>
      <c r="B118" s="26">
        <v>45036</v>
      </c>
      <c r="C118" s="26">
        <v>45079</v>
      </c>
      <c r="D118" s="40">
        <f>(C118-B118)</f>
        <v>43</v>
      </c>
    </row>
    <row r="119" spans="1:4" x14ac:dyDescent="0.3">
      <c r="A119" s="25" t="s">
        <v>4</v>
      </c>
      <c r="B119" s="26">
        <v>45401</v>
      </c>
      <c r="C119" s="26">
        <v>45467</v>
      </c>
      <c r="D119" s="40">
        <f>(C119-B119)</f>
        <v>66</v>
      </c>
    </row>
    <row r="120" spans="1:4" x14ac:dyDescent="0.3">
      <c r="A120" s="25" t="s">
        <v>6</v>
      </c>
      <c r="B120" s="26">
        <v>45774</v>
      </c>
      <c r="C120" s="26">
        <v>45820</v>
      </c>
      <c r="D120" s="40">
        <f>(C120-B120)</f>
        <v>46</v>
      </c>
    </row>
    <row r="137" spans="1:19" x14ac:dyDescent="0.3">
      <c r="A137" s="24" t="s">
        <v>5</v>
      </c>
      <c r="B137" s="24" t="s">
        <v>35</v>
      </c>
      <c r="C137" s="24" t="s">
        <v>87</v>
      </c>
      <c r="D137" s="24" t="s">
        <v>88</v>
      </c>
    </row>
    <row r="138" spans="1:19" x14ac:dyDescent="0.3">
      <c r="A138" s="25" t="s">
        <v>1</v>
      </c>
      <c r="B138" s="26">
        <v>44187</v>
      </c>
      <c r="C138" s="26">
        <v>44190</v>
      </c>
      <c r="D138" s="25">
        <f>(C138-B138)</f>
        <v>3</v>
      </c>
    </row>
    <row r="139" spans="1:19" x14ac:dyDescent="0.3">
      <c r="A139" s="25" t="s">
        <v>2</v>
      </c>
      <c r="B139" s="26">
        <v>44550</v>
      </c>
      <c r="C139" s="26">
        <v>44548</v>
      </c>
      <c r="D139" s="25">
        <f>(C139-B139)</f>
        <v>-2</v>
      </c>
    </row>
    <row r="140" spans="1:19" x14ac:dyDescent="0.3">
      <c r="A140" s="25" t="s">
        <v>3</v>
      </c>
      <c r="B140" s="26">
        <v>44905</v>
      </c>
      <c r="C140" s="26">
        <v>44915</v>
      </c>
      <c r="D140" s="25">
        <f>(C140-B140)</f>
        <v>10</v>
      </c>
    </row>
    <row r="141" spans="1:19" x14ac:dyDescent="0.3">
      <c r="A141" s="25" t="s">
        <v>4</v>
      </c>
      <c r="B141" s="26">
        <v>45263</v>
      </c>
      <c r="C141" s="26">
        <v>45261</v>
      </c>
      <c r="D141" s="25">
        <f>(C141-B141)</f>
        <v>-2</v>
      </c>
    </row>
    <row r="142" spans="1:19" x14ac:dyDescent="0.3">
      <c r="A142" s="25" t="s">
        <v>6</v>
      </c>
      <c r="B142" s="26">
        <v>45628</v>
      </c>
      <c r="C142" s="26">
        <v>45657</v>
      </c>
      <c r="D142" s="25">
        <f>(C142-B142)</f>
        <v>29</v>
      </c>
      <c r="R142" s="7">
        <v>0.03</v>
      </c>
      <c r="S142" s="7">
        <f>R142/12</f>
        <v>2.5000000000000001E-3</v>
      </c>
    </row>
    <row r="143" spans="1:19" x14ac:dyDescent="0.3">
      <c r="A143" s="25" t="s">
        <v>8</v>
      </c>
      <c r="B143" s="26"/>
      <c r="C143" s="26"/>
      <c r="D143" s="25"/>
    </row>
  </sheetData>
  <sortState ref="A51:B79">
    <sortCondition ref="A52"/>
  </sortState>
  <mergeCells count="106">
    <mergeCell ref="BY8:BY9"/>
    <mergeCell ref="BZ8:CA8"/>
    <mergeCell ref="CB8:CB9"/>
    <mergeCell ref="CC8:CD8"/>
    <mergeCell ref="CE8:CE9"/>
    <mergeCell ref="BQ8:BR8"/>
    <mergeCell ref="BS8:BS9"/>
    <mergeCell ref="BT8:BU8"/>
    <mergeCell ref="BV8:BV9"/>
    <mergeCell ref="BW8:BX8"/>
    <mergeCell ref="BJ8:BJ9"/>
    <mergeCell ref="BK8:BL8"/>
    <mergeCell ref="BM8:BM9"/>
    <mergeCell ref="BN8:BO8"/>
    <mergeCell ref="BP8:BP9"/>
    <mergeCell ref="BB8:BC8"/>
    <mergeCell ref="BD8:BD9"/>
    <mergeCell ref="BE8:BF8"/>
    <mergeCell ref="BG8:BG9"/>
    <mergeCell ref="BH8:BI8"/>
    <mergeCell ref="AD8:AE8"/>
    <mergeCell ref="AU8:AU9"/>
    <mergeCell ref="AV8:AW8"/>
    <mergeCell ref="AX8:AX9"/>
    <mergeCell ref="AY8:AZ8"/>
    <mergeCell ref="BA8:BA9"/>
    <mergeCell ref="AM8:AN8"/>
    <mergeCell ref="AO8:AO9"/>
    <mergeCell ref="AP8:AQ8"/>
    <mergeCell ref="AR8:AR9"/>
    <mergeCell ref="AS8:AT8"/>
    <mergeCell ref="A2:BJ2"/>
    <mergeCell ref="C8:D8"/>
    <mergeCell ref="E8:E9"/>
    <mergeCell ref="F8:G8"/>
    <mergeCell ref="H8:H9"/>
    <mergeCell ref="I8:J8"/>
    <mergeCell ref="K8:K9"/>
    <mergeCell ref="L8:M8"/>
    <mergeCell ref="N8:N9"/>
    <mergeCell ref="O8:P8"/>
    <mergeCell ref="Q8:Q9"/>
    <mergeCell ref="R8:S8"/>
    <mergeCell ref="T8:T9"/>
    <mergeCell ref="U8:V8"/>
    <mergeCell ref="W8:W9"/>
    <mergeCell ref="AF8:AF9"/>
    <mergeCell ref="AG8:AH8"/>
    <mergeCell ref="AI8:AI9"/>
    <mergeCell ref="AJ8:AK8"/>
    <mergeCell ref="AL8:AL9"/>
    <mergeCell ref="X8:Y8"/>
    <mergeCell ref="Z8:Z9"/>
    <mergeCell ref="AA8:AB8"/>
    <mergeCell ref="AC8:AC9"/>
    <mergeCell ref="AV63:AW63"/>
    <mergeCell ref="BQ63:BR63"/>
    <mergeCell ref="BS63:BS64"/>
    <mergeCell ref="BT63:BU63"/>
    <mergeCell ref="BV63:BV64"/>
    <mergeCell ref="BW63:BX63"/>
    <mergeCell ref="BP63:BP64"/>
    <mergeCell ref="AY63:AZ63"/>
    <mergeCell ref="BA63:BA64"/>
    <mergeCell ref="BB63:BC63"/>
    <mergeCell ref="BD63:BD64"/>
    <mergeCell ref="BE63:BF63"/>
    <mergeCell ref="BG63:BG64"/>
    <mergeCell ref="BH63:BI63"/>
    <mergeCell ref="BJ63:BJ64"/>
    <mergeCell ref="BK63:BL63"/>
    <mergeCell ref="BM63:BM64"/>
    <mergeCell ref="BN63:BO63"/>
    <mergeCell ref="AI63:AI64"/>
    <mergeCell ref="AJ63:AK63"/>
    <mergeCell ref="AL63:AL64"/>
    <mergeCell ref="AM63:AN63"/>
    <mergeCell ref="AO63:AO64"/>
    <mergeCell ref="AP63:AQ63"/>
    <mergeCell ref="AR63:AR64"/>
    <mergeCell ref="AS63:AT63"/>
    <mergeCell ref="AU63:AU64"/>
    <mergeCell ref="W63:W64"/>
    <mergeCell ref="X63:Y63"/>
    <mergeCell ref="Z63:Z64"/>
    <mergeCell ref="AA63:AB63"/>
    <mergeCell ref="AC63:AC64"/>
    <mergeCell ref="A1:BJ1"/>
    <mergeCell ref="A57:BJ57"/>
    <mergeCell ref="C63:D63"/>
    <mergeCell ref="E63:E64"/>
    <mergeCell ref="F63:G63"/>
    <mergeCell ref="H63:H64"/>
    <mergeCell ref="I63:J63"/>
    <mergeCell ref="K63:K64"/>
    <mergeCell ref="L63:M63"/>
    <mergeCell ref="N63:N64"/>
    <mergeCell ref="AF63:AF64"/>
    <mergeCell ref="O63:P63"/>
    <mergeCell ref="Q63:Q64"/>
    <mergeCell ref="R63:S63"/>
    <mergeCell ref="T63:T64"/>
    <mergeCell ref="U63:V63"/>
    <mergeCell ref="AD63:AE63"/>
    <mergeCell ref="AX63:AX64"/>
    <mergeCell ref="AG63:AH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Lungu</dc:creator>
  <cp:lastModifiedBy>Felix Lungu</cp:lastModifiedBy>
  <cp:lastPrinted>2025-08-21T17:37:18Z</cp:lastPrinted>
  <dcterms:created xsi:type="dcterms:W3CDTF">2024-10-14T06:38:41Z</dcterms:created>
  <dcterms:modified xsi:type="dcterms:W3CDTF">2025-10-17T09:22:50Z</dcterms:modified>
</cp:coreProperties>
</file>